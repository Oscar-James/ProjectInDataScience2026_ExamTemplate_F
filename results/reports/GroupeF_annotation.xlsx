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-james/Documents/MyCourses/Project/Assignment/Assignment_pds_groupF/"/>
    </mc:Choice>
  </mc:AlternateContent>
  <xr:revisionPtr revIDLastSave="0" documentId="13_ncr:1_{F0A03D5E-F5B9-5F49-9203-673672FA6907}" xr6:coauthVersionLast="47" xr6:coauthVersionMax="47" xr10:uidLastSave="{00000000-0000-0000-0000-000000000000}"/>
  <bookViews>
    <workbookView xWindow="1260" yWindow="800" windowWidth="28040" windowHeight="16940" xr2:uid="{5CAC6261-24C2-794C-A09E-F921726D1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2" i="1"/>
  <c r="N2" i="1"/>
  <c r="O2" i="1"/>
  <c r="P2" i="1"/>
  <c r="Q2" i="1"/>
  <c r="R2" i="1"/>
  <c r="S3" i="1"/>
  <c r="R3" i="1"/>
  <c r="Q3" i="1"/>
  <c r="P3" i="1"/>
  <c r="O3" i="1"/>
  <c r="N3" i="1"/>
  <c r="S2" i="1" l="1"/>
</calcChain>
</file>

<file path=xl/sharedStrings.xml><?xml version="1.0" encoding="utf-8"?>
<sst xmlns="http://schemas.openxmlformats.org/spreadsheetml/2006/main" count="138" uniqueCount="138">
  <si>
    <t>Image reference :</t>
  </si>
  <si>
    <t>PAT_101_1041_898.png</t>
  </si>
  <si>
    <t>PAT_1018_107_68.png</t>
  </si>
  <si>
    <t>PAT_1070_308_751.png</t>
  </si>
  <si>
    <t>PAT_1071_314_500.png</t>
  </si>
  <si>
    <t>PAT_115_177_622.png</t>
  </si>
  <si>
    <t>PAT_1158_570_376.png</t>
  </si>
  <si>
    <t>PAT_1174_628_915.png</t>
  </si>
  <si>
    <t>PAT_1209_737_590.png</t>
  </si>
  <si>
    <t>PAT_1245_844_471.png</t>
  </si>
  <si>
    <t>PAT_1259_892_793.png</t>
  </si>
  <si>
    <t>PAT_1273_953_510.png</t>
  </si>
  <si>
    <t>PAT_1277_964_77.png</t>
  </si>
  <si>
    <t>PAT_1320_1135_471.png</t>
  </si>
  <si>
    <t>PAT_1331_1173_380.png</t>
  </si>
  <si>
    <t>PAT_1333_1177_261.png</t>
  </si>
  <si>
    <t>PAT_134_201_587.png</t>
  </si>
  <si>
    <t>PAT_1340_1208_931.png</t>
  </si>
  <si>
    <t>PAT_1418_1447_360.png</t>
  </si>
  <si>
    <t>PAT_1433_1499_29.png</t>
  </si>
  <si>
    <t>PAT_1495_1708_278.png</t>
  </si>
  <si>
    <t>PAT_1498_1715_345.png</t>
  </si>
  <si>
    <t>PAT_1572_2496_418.png</t>
  </si>
  <si>
    <t>PAT_1573_2497_736.png</t>
  </si>
  <si>
    <t>PAT_1573_2499_849.png</t>
  </si>
  <si>
    <t>PAT_1583_2607_628.png</t>
  </si>
  <si>
    <t>PAT_159_244_102.png</t>
  </si>
  <si>
    <t>PAT_1702_3548_386.png</t>
  </si>
  <si>
    <t>PAT_1786_3419_768.png</t>
  </si>
  <si>
    <t>PAT_183_283_495.png</t>
  </si>
  <si>
    <t>PAT_1842_3615_850.png</t>
  </si>
  <si>
    <t>PAT_1902_3790_168.png</t>
  </si>
  <si>
    <t>PAT_1914_3822_863.png</t>
  </si>
  <si>
    <t>PAT_1940_3901_900.png</t>
  </si>
  <si>
    <t>PAT_1945_3923_428.png</t>
  </si>
  <si>
    <t>PAT_1998_4095_438.png</t>
  </si>
  <si>
    <t>PAT_2092_4537_438.png</t>
  </si>
  <si>
    <t>PAT_2099_4562_100.png</t>
  </si>
  <si>
    <t>PAT_2113_4607_329.png</t>
  </si>
  <si>
    <t>PAT_251_382_240.png</t>
  </si>
  <si>
    <t>PAT_281_432_813.png</t>
  </si>
  <si>
    <t>PAT_294_638_564.png</t>
  </si>
  <si>
    <t>PAT_312_668_480.png</t>
  </si>
  <si>
    <t>PAT_319_679_533.png</t>
  </si>
  <si>
    <t>PAT_324_1464_266.png</t>
  </si>
  <si>
    <t>PAT_338_709_306.png</t>
  </si>
  <si>
    <t>PAT_340_714_314.png</t>
  </si>
  <si>
    <t>PAT_341_715_180.png</t>
  </si>
  <si>
    <t>PAT_352_729_947.png</t>
  </si>
  <si>
    <t>PAT_377_1580_429.png</t>
  </si>
  <si>
    <t>PAT_379_4405_969.png</t>
  </si>
  <si>
    <t>PAT_380_773_362.png</t>
  </si>
  <si>
    <t>PAT_396_796_394.png</t>
  </si>
  <si>
    <t>PAT_407_810_390.png</t>
  </si>
  <si>
    <t>PAT_413_819_550.png</t>
  </si>
  <si>
    <t>PAT_419_2767_323.png</t>
  </si>
  <si>
    <t>PAT_42_58_13.png</t>
  </si>
  <si>
    <t>PAT_46_881_14.png</t>
  </si>
  <si>
    <t>PAT_478_1829_141.png</t>
  </si>
  <si>
    <t>PAT_486_929_317.png</t>
  </si>
  <si>
    <t>PAT_498_944_488.png</t>
  </si>
  <si>
    <t>PAT_50_76_296.png</t>
  </si>
  <si>
    <t>PAT_505_951_710.png</t>
  </si>
  <si>
    <t>PAT_514_968_269.png</t>
  </si>
  <si>
    <t>PAT_530_999_696.png</t>
  </si>
  <si>
    <t>PAT_531_3079_652.png</t>
  </si>
  <si>
    <t>PAT_532_3216_633.png</t>
  </si>
  <si>
    <t>PAT_537_1014_452.png</t>
  </si>
  <si>
    <t>PAT_550_1045_81.png</t>
  </si>
  <si>
    <t>PAT_567_1077_64.png</t>
  </si>
  <si>
    <t>PAT_57_90_910.png</t>
  </si>
  <si>
    <t>PAT_575_1087_29.png</t>
  </si>
  <si>
    <t>PAT_581_1114_116.png</t>
  </si>
  <si>
    <t>PAT_585_1130_474.png</t>
  </si>
  <si>
    <t>PAT_609_1159_942.png</t>
  </si>
  <si>
    <t>PAT_614_1166_885.png</t>
  </si>
  <si>
    <t>PAT_63_98_187.png</t>
  </si>
  <si>
    <t>PAT_632_1206_634.png</t>
  </si>
  <si>
    <t>PAT_639_1208_986.png</t>
  </si>
  <si>
    <t>PAT_650_1230_636.png</t>
  </si>
  <si>
    <t>PAT_651_1232_950.png</t>
  </si>
  <si>
    <t>PAT_662_1251_380.png</t>
  </si>
  <si>
    <t>PAT_67_104_695.png</t>
  </si>
  <si>
    <t>PAT_673_3928_888.png</t>
  </si>
  <si>
    <t>PAT_677_1350_358.png</t>
  </si>
  <si>
    <t>PAT_691_1310_780.png</t>
  </si>
  <si>
    <t>PAT_691_3994_671.png</t>
  </si>
  <si>
    <t>PAT_704_1323_974.png</t>
  </si>
  <si>
    <t>PAT_713_1336_159.png</t>
  </si>
  <si>
    <t>PAT_715_1338_761.png</t>
  </si>
  <si>
    <t>PAT_73_111_609.png</t>
  </si>
  <si>
    <t>PAT_75_113_165.png</t>
  </si>
  <si>
    <t>PAT_753_1427_658.png</t>
  </si>
  <si>
    <t>PAT_782_1493_140.png</t>
  </si>
  <si>
    <t>PAT_792_1498_936.png</t>
  </si>
  <si>
    <t>PAT_793_1512_327.png</t>
  </si>
  <si>
    <t>PAT_800_1514_512.png</t>
  </si>
  <si>
    <t>PAT_82_125_525.png</t>
  </si>
  <si>
    <t>PAT_822_1550_132.png</t>
  </si>
  <si>
    <t>PAT_831_1570_637.png</t>
  </si>
  <si>
    <t>PAT_833_1571_134.png</t>
  </si>
  <si>
    <t>PAT_846_4421_153.png</t>
  </si>
  <si>
    <t>PAT_87_133_391.png</t>
  </si>
  <si>
    <t>PAT_875_1669_946.png</t>
  </si>
  <si>
    <t>PAT_875_1670_121.png</t>
  </si>
  <si>
    <t>PAT_877_1667_667.png</t>
  </si>
  <si>
    <t>PAT_894_1680_410.png</t>
  </si>
  <si>
    <t>PAT_904_1739_546.png</t>
  </si>
  <si>
    <t>PAT_923_1753_496.png</t>
  </si>
  <si>
    <t>PAT_933_1766_191.png</t>
  </si>
  <si>
    <t>PAT_934_1778_140.png</t>
  </si>
  <si>
    <t>PAT_935_1783_687.png</t>
  </si>
  <si>
    <t>PAT_943_1793_787.png</t>
  </si>
  <si>
    <t>PAT_948_1801_721.png</t>
  </si>
  <si>
    <t>PAT_948_1801_993.png</t>
  </si>
  <si>
    <t>PAT_954_1808_415.png</t>
  </si>
  <si>
    <t>PAT_966_1826_587.png</t>
  </si>
  <si>
    <t>PAT_999_20_223.png</t>
  </si>
  <si>
    <t>Pen_h :</t>
  </si>
  <si>
    <t>Hair_h :</t>
  </si>
  <si>
    <t>Hair_j :</t>
  </si>
  <si>
    <t>Pen_j :</t>
  </si>
  <si>
    <t>Hair_n :</t>
  </si>
  <si>
    <t>Pen_n :</t>
  </si>
  <si>
    <t>Hair_oj :</t>
  </si>
  <si>
    <t>Pen_oj :</t>
  </si>
  <si>
    <t>Hair_v :</t>
  </si>
  <si>
    <t>Pen_v :</t>
  </si>
  <si>
    <t>Data Analysis :</t>
  </si>
  <si>
    <t>Mean Hair :</t>
  </si>
  <si>
    <t>O-J :</t>
  </si>
  <si>
    <t>Hafsa :</t>
  </si>
  <si>
    <t>Julius :</t>
  </si>
  <si>
    <t>Nikolay :</t>
  </si>
  <si>
    <t>Valentina :</t>
  </si>
  <si>
    <t>Goupe :</t>
  </si>
  <si>
    <t>% pen :</t>
  </si>
  <si>
    <t>Standard Deviatiton G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</si>
</sst>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6"/>
      <color theme="1"/>
      <name val="Aptos Narrow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0" borderId="1" xfId="0" applyFont="1" applyBorder="1"/>
    <xf numFmtId="0" fontId="1" fillId="2" borderId="2" xfId="1" applyFill="1" applyBorder="1"/>
    <xf numFmtId="0" fontId="1" fillId="2" borderId="3" xfId="1" applyFill="1" applyBorder="1"/>
    <xf numFmtId="0" fontId="1" fillId="0" borderId="2" xfId="1" applyBorder="1"/>
    <xf numFmtId="0" fontId="1" fillId="0" borderId="3" xfId="1" applyBorder="1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2" borderId="3" xfId="0" applyFill="1" applyBorder="1"/>
    <xf numFmtId="0" fontId="3" fillId="0" borderId="4" xfId="0" applyFont="1" applyBorder="1"/>
    <xf numFmtId="0" fontId="1" fillId="0" borderId="5" xfId="1" applyBorder="1"/>
    <xf numFmtId="0" fontId="1" fillId="0" borderId="6" xfId="1" applyBorder="1"/>
    <xf numFmtId="0" fontId="0" fillId="0" borderId="5" xfId="0" applyBorder="1"/>
    <xf numFmtId="0" fontId="0" fillId="0" borderId="6" xfId="0" applyBorder="1"/>
    <xf numFmtId="9" fontId="0" fillId="0" borderId="0" xfId="2" applyFont="1"/>
    <xf numFmtId="9" fontId="0" fillId="0" borderId="0" xfId="0" applyNumberFormat="1"/>
  </cellXfs>
  <cellStyles count="3">
    <cellStyle name="Normal" xfId="0" builtinId="0"/>
    <cellStyle name="Normal 2" xfId="1" xr:uid="{40360A87-0E4B-EF49-9C72-15D167C5FD54}"/>
    <cellStyle name="Percent" xfId="2" builtinId="5"/>
  </cellStyles>
  <dxfs count="13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7C68F7-50B7-C645-BFF6-0739C9044483}" name="Table1" displayName="Table1" ref="A1:K118" totalsRowShown="0" dataDxfId="12" tableBorderDxfId="11">
  <autoFilter ref="A1:K118" xr:uid="{187C68F7-50B7-C645-BFF6-0739C9044483}"/>
  <sortState xmlns:xlrd2="http://schemas.microsoft.com/office/spreadsheetml/2017/richdata2" ref="A2:K118">
    <sortCondition descending="1" ref="H1:H118"/>
  </sortState>
  <tableColumns count="11">
    <tableColumn id="1" xr3:uid="{DC0ED1EB-474D-3143-BFF8-6B04715056EC}" name="Image reference :" dataDxfId="10"/>
    <tableColumn id="2" xr3:uid="{F2E36F78-0D36-2A45-96C4-650C73AB15F7}" name="Hair_h :" dataDxfId="9" dataCellStyle="Normal 2"/>
    <tableColumn id="3" xr3:uid="{800FFC44-3E06-E246-9E0E-2DCD612C3107}" name="Pen_h :" dataDxfId="8" dataCellStyle="Normal 2"/>
    <tableColumn id="4" xr3:uid="{ACB633B3-6E75-4845-964A-7E49BF217522}" name="Hair_j :" dataDxfId="7"/>
    <tableColumn id="5" xr3:uid="{21AD7995-22F3-A347-9190-E6D321C67B24}" name="Pen_j :" dataDxfId="6"/>
    <tableColumn id="6" xr3:uid="{FFC52501-28FC-A44D-A2A5-C6213F298D70}" name="Hair_n :" dataDxfId="5"/>
    <tableColumn id="7" xr3:uid="{6D325847-0744-0B4D-A523-8AB3EFA3C526}" name="Pen_n :" dataDxfId="4"/>
    <tableColumn id="8" xr3:uid="{4A39A4EE-AD98-7140-AFCF-8E507667D6D9}" name="Hair_oj :" dataDxfId="3"/>
    <tableColumn id="9" xr3:uid="{524B5C74-5420-FA47-91A3-C52D5CC584C1}" name="Pen_oj :" dataDxfId="2"/>
    <tableColumn id="10" xr3:uid="{F5746A66-922D-2E4D-9D48-533FBD4AF623}" name="Hair_v :" dataDxfId="1"/>
    <tableColumn id="11" xr3:uid="{C4FEDEEC-3B54-DB4B-B277-524166CA6B5E}" name="Pen_v :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29B851-AA5F-A34A-B797-18ADBA8F2C69}" name="Table2" displayName="Table2" ref="M1:T3" totalsRowShown="0">
  <autoFilter ref="M1:T3" xr:uid="{CE29B851-AA5F-A34A-B797-18ADBA8F2C69}"/>
  <tableColumns count="8">
    <tableColumn id="1" xr3:uid="{F9F91873-DDEC-E141-A488-C26C55068A44}" name="Data Analysis :"/>
    <tableColumn id="2" xr3:uid="{01263601-8FA9-F64D-B5E1-4D9FB767FFF2}" name="Hafsa :">
      <calculatedColumnFormula>AVERAGE(C1:C117)</calculatedColumnFormula>
    </tableColumn>
    <tableColumn id="3" xr3:uid="{2257F224-52E7-FE4A-B191-8481905B6D48}" name="Julius :">
      <calculatedColumnFormula>AVERAGE(E1:E117)</calculatedColumnFormula>
    </tableColumn>
    <tableColumn id="4" xr3:uid="{407A931A-1126-4646-B29F-0E57D8AEE2F5}" name="Nikolay :">
      <calculatedColumnFormula>AVERAGE(G1:G117)</calculatedColumnFormula>
    </tableColumn>
    <tableColumn id="5" xr3:uid="{57EC1C26-9E48-0544-9BD3-0B6E1F3F6D63}" name="O-J :">
      <calculatedColumnFormula>AVERAGE(I1:I117)</calculatedColumnFormula>
    </tableColumn>
    <tableColumn id="6" xr3:uid="{20B301E6-EC9B-E345-B054-56C646CCA2C5}" name="Valentina :">
      <calculatedColumnFormula>AVERAGE(K1:K117)</calculatedColumnFormula>
    </tableColumn>
    <tableColumn id="7" xr3:uid="{587E5C8A-5172-5349-864B-E9272C04C656}" name="Goupe :">
      <calculatedColumnFormula>AVERAGE(N2:R2)</calculatedColumnFormula>
    </tableColumn>
    <tableColumn id="8" xr3:uid="{9F533810-8743-B34F-9C9D-E1E0C3B24646}" name="Standard Deviatiton G :">
      <calculatedColumnFormula>_xlfn.STDEV.S(N2:S2)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74EF-A558-F541-AF89-F9E8B119019C}">
  <dimension ref="A1:T118"/>
  <sheetViews>
    <sheetView tabSelected="1" topLeftCell="G1" workbookViewId="0">
      <selection activeCell="M4" sqref="M4"/>
    </sheetView>
  </sheetViews>
  <sheetFormatPr baseColWidth="10" defaultRowHeight="16" x14ac:dyDescent="0.2"/>
  <cols>
    <col min="1" max="1" width="22.6640625" bestFit="1" customWidth="1"/>
    <col min="2" max="2" width="9.83203125" bestFit="1" customWidth="1"/>
    <col min="3" max="3" width="9.5" bestFit="1" customWidth="1"/>
    <col min="4" max="4" width="9.33203125" bestFit="1" customWidth="1"/>
    <col min="5" max="5" width="9" bestFit="1" customWidth="1"/>
    <col min="6" max="6" width="9.83203125" bestFit="1" customWidth="1"/>
    <col min="7" max="7" width="9.5" bestFit="1" customWidth="1"/>
    <col min="8" max="8" width="10.33203125" bestFit="1" customWidth="1"/>
    <col min="9" max="9" width="10" bestFit="1" customWidth="1"/>
    <col min="10" max="10" width="9.6640625" bestFit="1" customWidth="1"/>
    <col min="11" max="11" width="9.33203125" bestFit="1" customWidth="1"/>
    <col min="13" max="13" width="15.6640625" customWidth="1"/>
    <col min="18" max="18" width="12.1640625" customWidth="1"/>
    <col min="20" max="20" width="22.1640625" customWidth="1"/>
  </cols>
  <sheetData>
    <row r="1" spans="1:20" ht="22" x14ac:dyDescent="0.3">
      <c r="A1" s="1" t="s">
        <v>0</v>
      </c>
      <c r="B1" t="s">
        <v>119</v>
      </c>
      <c r="C1" t="s">
        <v>118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M1" t="s">
        <v>128</v>
      </c>
      <c r="N1" t="s">
        <v>131</v>
      </c>
      <c r="O1" t="s">
        <v>132</v>
      </c>
      <c r="P1" t="s">
        <v>133</v>
      </c>
      <c r="Q1" t="s">
        <v>130</v>
      </c>
      <c r="R1" t="s">
        <v>134</v>
      </c>
      <c r="S1" t="s">
        <v>135</v>
      </c>
      <c r="T1" t="s">
        <v>137</v>
      </c>
    </row>
    <row r="2" spans="1:20" x14ac:dyDescent="0.2">
      <c r="A2" s="3" t="s">
        <v>66</v>
      </c>
      <c r="B2" s="6">
        <v>3</v>
      </c>
      <c r="C2" s="7">
        <v>0</v>
      </c>
      <c r="D2" s="8">
        <v>3</v>
      </c>
      <c r="E2" s="9">
        <v>0</v>
      </c>
      <c r="F2" s="8">
        <v>3</v>
      </c>
      <c r="G2" s="9">
        <v>0</v>
      </c>
      <c r="H2" s="8">
        <v>3</v>
      </c>
      <c r="I2" s="9">
        <v>0</v>
      </c>
      <c r="J2" s="8">
        <v>3</v>
      </c>
      <c r="K2" s="9">
        <v>0</v>
      </c>
      <c r="M2" t="s">
        <v>129</v>
      </c>
      <c r="N2">
        <f>ROUND(AVERAGE(B2:B118),3)</f>
        <v>1.0089999999999999</v>
      </c>
      <c r="O2">
        <f>ROUND(AVERAGE(D2:D118),3)</f>
        <v>0.872</v>
      </c>
      <c r="P2">
        <f>ROUND(AVERAGE(F2:F118),3)</f>
        <v>0.84599999999999997</v>
      </c>
      <c r="Q2">
        <f>ROUND(AVERAGE(H2:H118),3)</f>
        <v>0.59</v>
      </c>
      <c r="R2">
        <f>ROUND(AVERAGE(J2:J118),3)</f>
        <v>0.59</v>
      </c>
      <c r="S2">
        <f>ROUND(AVERAGE(N2:R2),3)</f>
        <v>0.78100000000000003</v>
      </c>
      <c r="T2">
        <f>ROUND(_xlfn.STDEV.S(N2:R2),3)</f>
        <v>0.185</v>
      </c>
    </row>
    <row r="3" spans="1:20" x14ac:dyDescent="0.2">
      <c r="A3" s="3" t="s">
        <v>86</v>
      </c>
      <c r="B3" s="6">
        <v>3</v>
      </c>
      <c r="C3" s="7">
        <v>0</v>
      </c>
      <c r="D3" s="8">
        <v>3</v>
      </c>
      <c r="E3" s="9">
        <v>0</v>
      </c>
      <c r="F3" s="8">
        <v>3</v>
      </c>
      <c r="G3" s="9">
        <v>0</v>
      </c>
      <c r="H3" s="8">
        <v>3</v>
      </c>
      <c r="I3" s="9">
        <v>0</v>
      </c>
      <c r="J3" s="8">
        <v>3</v>
      </c>
      <c r="K3" s="9">
        <v>0</v>
      </c>
      <c r="M3" t="s">
        <v>136</v>
      </c>
      <c r="N3" s="17">
        <f>AVERAGE(C2:C118)</f>
        <v>0.24786324786324787</v>
      </c>
      <c r="O3" s="17">
        <f>AVERAGE(E2:E118)</f>
        <v>0.26495726495726496</v>
      </c>
      <c r="P3" s="17">
        <f>AVERAGE(G2:G118)</f>
        <v>0.27350427350427353</v>
      </c>
      <c r="Q3" s="17">
        <f>AVERAGE(I2:I118)</f>
        <v>0.22222222222222221</v>
      </c>
      <c r="R3" s="17">
        <f>AVERAGE(K2:K118)</f>
        <v>0.26495726495726496</v>
      </c>
      <c r="S3" s="18">
        <f>AVERAGE(N3:R3)</f>
        <v>0.25470085470085468</v>
      </c>
      <c r="T3" s="17">
        <f>_xlfn.STDEV.S(N3:S3)</f>
        <v>1.8251415815438148E-2</v>
      </c>
    </row>
    <row r="4" spans="1:20" x14ac:dyDescent="0.2">
      <c r="A4" s="2" t="s">
        <v>33</v>
      </c>
      <c r="B4" s="4">
        <v>2</v>
      </c>
      <c r="C4" s="5">
        <v>0</v>
      </c>
      <c r="D4" s="10">
        <v>3</v>
      </c>
      <c r="E4" s="11">
        <v>0</v>
      </c>
      <c r="F4" s="10">
        <v>3</v>
      </c>
      <c r="G4" s="11">
        <v>0</v>
      </c>
      <c r="H4" s="10">
        <v>3</v>
      </c>
      <c r="I4" s="11">
        <v>0</v>
      </c>
      <c r="J4" s="10">
        <v>3</v>
      </c>
      <c r="K4" s="11">
        <v>0</v>
      </c>
    </row>
    <row r="5" spans="1:20" x14ac:dyDescent="0.2">
      <c r="A5" s="2" t="s">
        <v>3</v>
      </c>
      <c r="B5" s="4">
        <v>2</v>
      </c>
      <c r="C5" s="5">
        <v>0</v>
      </c>
      <c r="D5" s="10">
        <v>2</v>
      </c>
      <c r="E5" s="11">
        <v>0</v>
      </c>
      <c r="F5" s="10">
        <v>3</v>
      </c>
      <c r="G5" s="11">
        <v>0</v>
      </c>
      <c r="H5" s="10">
        <v>3</v>
      </c>
      <c r="I5" s="11">
        <v>0</v>
      </c>
      <c r="J5" s="10">
        <v>1</v>
      </c>
      <c r="K5" s="11">
        <v>0</v>
      </c>
    </row>
    <row r="6" spans="1:20" x14ac:dyDescent="0.2">
      <c r="A6" s="3" t="s">
        <v>98</v>
      </c>
      <c r="B6" s="6">
        <v>0</v>
      </c>
      <c r="C6" s="7">
        <v>0</v>
      </c>
      <c r="D6" s="8">
        <v>2</v>
      </c>
      <c r="E6" s="9">
        <v>0</v>
      </c>
      <c r="F6" s="8">
        <v>3</v>
      </c>
      <c r="G6" s="9">
        <v>0</v>
      </c>
      <c r="H6" s="8">
        <v>3</v>
      </c>
      <c r="I6" s="9">
        <v>0</v>
      </c>
      <c r="J6" s="8">
        <v>0</v>
      </c>
      <c r="K6" s="9">
        <v>0</v>
      </c>
    </row>
    <row r="7" spans="1:20" x14ac:dyDescent="0.2">
      <c r="A7" s="2" t="s">
        <v>81</v>
      </c>
      <c r="B7" s="4">
        <v>3</v>
      </c>
      <c r="C7" s="5">
        <v>0</v>
      </c>
      <c r="D7" s="10">
        <v>3</v>
      </c>
      <c r="E7" s="11">
        <v>0</v>
      </c>
      <c r="F7" s="10">
        <v>3</v>
      </c>
      <c r="G7" s="11">
        <v>0</v>
      </c>
      <c r="H7" s="10">
        <v>2</v>
      </c>
      <c r="I7" s="11">
        <v>0</v>
      </c>
      <c r="J7" s="10">
        <v>3</v>
      </c>
      <c r="K7" s="11">
        <v>0</v>
      </c>
    </row>
    <row r="8" spans="1:20" x14ac:dyDescent="0.2">
      <c r="A8" s="2" t="s">
        <v>117</v>
      </c>
      <c r="B8" s="4">
        <v>3</v>
      </c>
      <c r="C8" s="5">
        <v>1</v>
      </c>
      <c r="D8" s="10">
        <v>3</v>
      </c>
      <c r="E8" s="11">
        <v>0</v>
      </c>
      <c r="F8" s="10">
        <v>3</v>
      </c>
      <c r="G8" s="11">
        <v>1</v>
      </c>
      <c r="H8" s="10">
        <v>2</v>
      </c>
      <c r="I8" s="11">
        <v>0</v>
      </c>
      <c r="J8" s="10">
        <v>3</v>
      </c>
      <c r="K8" s="11">
        <v>1</v>
      </c>
    </row>
    <row r="9" spans="1:20" x14ac:dyDescent="0.2">
      <c r="A9" s="2" t="s">
        <v>31</v>
      </c>
      <c r="B9" s="4">
        <v>3</v>
      </c>
      <c r="C9" s="5">
        <v>0</v>
      </c>
      <c r="D9" s="10">
        <v>3</v>
      </c>
      <c r="E9" s="11">
        <v>0</v>
      </c>
      <c r="F9" s="10">
        <v>3</v>
      </c>
      <c r="G9" s="11">
        <v>0</v>
      </c>
      <c r="H9" s="10">
        <v>2</v>
      </c>
      <c r="I9" s="11">
        <v>0</v>
      </c>
      <c r="J9" s="10">
        <v>2</v>
      </c>
      <c r="K9" s="11">
        <v>0</v>
      </c>
    </row>
    <row r="10" spans="1:20" x14ac:dyDescent="0.2">
      <c r="A10" s="3" t="s">
        <v>54</v>
      </c>
      <c r="B10" s="6">
        <v>3</v>
      </c>
      <c r="C10" s="7">
        <v>1</v>
      </c>
      <c r="D10" s="8">
        <v>3</v>
      </c>
      <c r="E10" s="9">
        <v>1</v>
      </c>
      <c r="F10" s="8">
        <v>3</v>
      </c>
      <c r="G10" s="9">
        <v>1</v>
      </c>
      <c r="H10" s="8">
        <v>2</v>
      </c>
      <c r="I10" s="9">
        <v>1</v>
      </c>
      <c r="J10" s="8">
        <v>2</v>
      </c>
      <c r="K10" s="9">
        <v>1</v>
      </c>
    </row>
    <row r="11" spans="1:20" x14ac:dyDescent="0.2">
      <c r="A11" s="3" t="s">
        <v>8</v>
      </c>
      <c r="B11" s="6">
        <v>3</v>
      </c>
      <c r="C11" s="7">
        <v>1</v>
      </c>
      <c r="D11" s="8">
        <v>3</v>
      </c>
      <c r="E11" s="9">
        <v>1</v>
      </c>
      <c r="F11" s="8">
        <v>2</v>
      </c>
      <c r="G11" s="9">
        <v>1</v>
      </c>
      <c r="H11" s="8">
        <v>2</v>
      </c>
      <c r="I11" s="9">
        <v>1</v>
      </c>
      <c r="J11" s="8">
        <v>2</v>
      </c>
      <c r="K11" s="9">
        <v>1</v>
      </c>
    </row>
    <row r="12" spans="1:20" x14ac:dyDescent="0.2">
      <c r="A12" s="2" t="s">
        <v>85</v>
      </c>
      <c r="B12" s="4">
        <v>3</v>
      </c>
      <c r="C12" s="5">
        <v>0</v>
      </c>
      <c r="D12" s="10">
        <v>3</v>
      </c>
      <c r="E12" s="11">
        <v>0</v>
      </c>
      <c r="F12" s="10">
        <v>2</v>
      </c>
      <c r="G12" s="11">
        <v>0</v>
      </c>
      <c r="H12" s="10">
        <v>2</v>
      </c>
      <c r="I12" s="11">
        <v>0</v>
      </c>
      <c r="J12" s="10">
        <v>2</v>
      </c>
      <c r="K12" s="11">
        <v>0</v>
      </c>
    </row>
    <row r="13" spans="1:20" x14ac:dyDescent="0.2">
      <c r="A13" s="2" t="s">
        <v>45</v>
      </c>
      <c r="B13" s="4">
        <v>3</v>
      </c>
      <c r="C13" s="5">
        <v>0</v>
      </c>
      <c r="D13" s="10">
        <v>2</v>
      </c>
      <c r="E13" s="11">
        <v>0</v>
      </c>
      <c r="F13" s="10">
        <v>2</v>
      </c>
      <c r="G13" s="11">
        <v>0</v>
      </c>
      <c r="H13" s="10">
        <v>2</v>
      </c>
      <c r="I13" s="11">
        <v>0</v>
      </c>
      <c r="J13" s="10">
        <v>2</v>
      </c>
      <c r="K13" s="11">
        <v>0</v>
      </c>
    </row>
    <row r="14" spans="1:20" x14ac:dyDescent="0.2">
      <c r="A14" s="2" t="s">
        <v>37</v>
      </c>
      <c r="B14" s="4">
        <v>3</v>
      </c>
      <c r="C14" s="5">
        <v>0</v>
      </c>
      <c r="D14" s="10">
        <v>2</v>
      </c>
      <c r="E14" s="11">
        <v>0</v>
      </c>
      <c r="F14" s="10">
        <v>3</v>
      </c>
      <c r="G14" s="11">
        <v>0</v>
      </c>
      <c r="H14" s="10">
        <v>2</v>
      </c>
      <c r="I14" s="11">
        <v>0</v>
      </c>
      <c r="J14" s="10">
        <v>1</v>
      </c>
      <c r="K14" s="11">
        <v>0</v>
      </c>
    </row>
    <row r="15" spans="1:20" x14ac:dyDescent="0.2">
      <c r="A15" s="3" t="s">
        <v>50</v>
      </c>
      <c r="B15" s="6">
        <v>3</v>
      </c>
      <c r="C15" s="7">
        <v>1</v>
      </c>
      <c r="D15" s="8">
        <v>2</v>
      </c>
      <c r="E15" s="9">
        <v>1</v>
      </c>
      <c r="F15" s="8">
        <v>3</v>
      </c>
      <c r="G15" s="9">
        <v>1</v>
      </c>
      <c r="H15" s="8">
        <v>2</v>
      </c>
      <c r="I15" s="9">
        <v>1</v>
      </c>
      <c r="J15" s="8">
        <v>1</v>
      </c>
      <c r="K15" s="9">
        <v>1</v>
      </c>
    </row>
    <row r="16" spans="1:20" x14ac:dyDescent="0.2">
      <c r="A16" s="3" t="s">
        <v>52</v>
      </c>
      <c r="B16" s="6">
        <v>3</v>
      </c>
      <c r="C16" s="7">
        <v>0</v>
      </c>
      <c r="D16" s="8">
        <v>2</v>
      </c>
      <c r="E16" s="9">
        <v>0</v>
      </c>
      <c r="F16" s="8">
        <v>3</v>
      </c>
      <c r="G16" s="9">
        <v>0</v>
      </c>
      <c r="H16" s="8">
        <v>2</v>
      </c>
      <c r="I16" s="9">
        <v>0</v>
      </c>
      <c r="J16" s="8">
        <v>1</v>
      </c>
      <c r="K16" s="9">
        <v>0</v>
      </c>
    </row>
    <row r="17" spans="1:11" x14ac:dyDescent="0.2">
      <c r="A17" s="3" t="s">
        <v>68</v>
      </c>
      <c r="B17" s="6">
        <v>3</v>
      </c>
      <c r="C17" s="7">
        <v>0</v>
      </c>
      <c r="D17" s="8">
        <v>2</v>
      </c>
      <c r="E17" s="9">
        <v>1</v>
      </c>
      <c r="F17" s="8">
        <v>2</v>
      </c>
      <c r="G17" s="9">
        <v>0</v>
      </c>
      <c r="H17" s="8">
        <v>2</v>
      </c>
      <c r="I17" s="9">
        <v>0</v>
      </c>
      <c r="J17" s="8">
        <v>1</v>
      </c>
      <c r="K17" s="9">
        <v>0</v>
      </c>
    </row>
    <row r="18" spans="1:11" x14ac:dyDescent="0.2">
      <c r="A18" s="2" t="s">
        <v>87</v>
      </c>
      <c r="B18" s="4">
        <v>2</v>
      </c>
      <c r="C18" s="5">
        <v>1</v>
      </c>
      <c r="D18" s="10">
        <v>3</v>
      </c>
      <c r="E18" s="11">
        <v>1</v>
      </c>
      <c r="F18" s="10">
        <v>3</v>
      </c>
      <c r="G18" s="11">
        <v>1</v>
      </c>
      <c r="H18" s="10">
        <v>2</v>
      </c>
      <c r="I18" s="11">
        <v>0</v>
      </c>
      <c r="J18" s="10">
        <v>3</v>
      </c>
      <c r="K18" s="11">
        <v>1</v>
      </c>
    </row>
    <row r="19" spans="1:11" x14ac:dyDescent="0.2">
      <c r="A19" s="2" t="s">
        <v>49</v>
      </c>
      <c r="B19" s="4">
        <v>2</v>
      </c>
      <c r="C19" s="5">
        <v>0</v>
      </c>
      <c r="D19" s="10">
        <v>2</v>
      </c>
      <c r="E19" s="11">
        <v>0</v>
      </c>
      <c r="F19" s="10">
        <v>2</v>
      </c>
      <c r="G19" s="11">
        <v>0</v>
      </c>
      <c r="H19" s="10">
        <v>2</v>
      </c>
      <c r="I19" s="11">
        <v>0</v>
      </c>
      <c r="J19" s="10">
        <v>3</v>
      </c>
      <c r="K19" s="11">
        <v>0</v>
      </c>
    </row>
    <row r="20" spans="1:11" x14ac:dyDescent="0.2">
      <c r="A20" s="3" t="s">
        <v>40</v>
      </c>
      <c r="B20" s="6">
        <v>2</v>
      </c>
      <c r="C20" s="7">
        <v>0</v>
      </c>
      <c r="D20" s="8">
        <v>2</v>
      </c>
      <c r="E20" s="9">
        <v>0</v>
      </c>
      <c r="F20" s="8">
        <v>2</v>
      </c>
      <c r="G20" s="9">
        <v>0</v>
      </c>
      <c r="H20" s="8">
        <v>2</v>
      </c>
      <c r="I20" s="9">
        <v>0</v>
      </c>
      <c r="J20" s="8">
        <v>1</v>
      </c>
      <c r="K20" s="9">
        <v>0</v>
      </c>
    </row>
    <row r="21" spans="1:11" x14ac:dyDescent="0.2">
      <c r="A21" s="3" t="s">
        <v>74</v>
      </c>
      <c r="B21" s="6">
        <v>2</v>
      </c>
      <c r="C21" s="7">
        <v>0</v>
      </c>
      <c r="D21" s="8">
        <v>2</v>
      </c>
      <c r="E21" s="9">
        <v>0</v>
      </c>
      <c r="F21" s="8">
        <v>2</v>
      </c>
      <c r="G21" s="9">
        <v>0</v>
      </c>
      <c r="H21" s="8">
        <v>2</v>
      </c>
      <c r="I21" s="9">
        <v>0</v>
      </c>
      <c r="J21" s="8">
        <v>1</v>
      </c>
      <c r="K21" s="9">
        <v>0</v>
      </c>
    </row>
    <row r="22" spans="1:11" x14ac:dyDescent="0.2">
      <c r="A22" s="2" t="s">
        <v>93</v>
      </c>
      <c r="B22" s="4">
        <v>2</v>
      </c>
      <c r="C22" s="5">
        <v>0</v>
      </c>
      <c r="D22" s="10">
        <v>1</v>
      </c>
      <c r="E22" s="11">
        <v>0</v>
      </c>
      <c r="F22" s="10">
        <v>2</v>
      </c>
      <c r="G22" s="11">
        <v>1</v>
      </c>
      <c r="H22" s="10">
        <v>2</v>
      </c>
      <c r="I22" s="11">
        <v>0</v>
      </c>
      <c r="J22" s="10">
        <v>1</v>
      </c>
      <c r="K22" s="11">
        <v>0</v>
      </c>
    </row>
    <row r="23" spans="1:11" x14ac:dyDescent="0.2">
      <c r="A23" s="2" t="s">
        <v>109</v>
      </c>
      <c r="B23" s="4">
        <v>2</v>
      </c>
      <c r="C23" s="5">
        <v>0</v>
      </c>
      <c r="D23" s="10">
        <v>3</v>
      </c>
      <c r="E23" s="11">
        <v>0</v>
      </c>
      <c r="F23" s="10">
        <v>2</v>
      </c>
      <c r="G23" s="11">
        <v>0</v>
      </c>
      <c r="H23" s="10">
        <v>2</v>
      </c>
      <c r="I23" s="11">
        <v>0</v>
      </c>
      <c r="J23" s="10">
        <v>0</v>
      </c>
      <c r="K23" s="11">
        <v>0</v>
      </c>
    </row>
    <row r="24" spans="1:11" x14ac:dyDescent="0.2">
      <c r="A24" s="3" t="s">
        <v>58</v>
      </c>
      <c r="B24" s="6">
        <v>5</v>
      </c>
      <c r="C24" s="7">
        <v>0</v>
      </c>
      <c r="D24" s="8">
        <v>2</v>
      </c>
      <c r="E24" s="9">
        <v>0</v>
      </c>
      <c r="F24" s="8">
        <v>2</v>
      </c>
      <c r="G24" s="9">
        <v>0</v>
      </c>
      <c r="H24" s="8">
        <v>1</v>
      </c>
      <c r="I24" s="9">
        <v>0</v>
      </c>
      <c r="J24" s="8">
        <v>0</v>
      </c>
      <c r="K24" s="9">
        <v>0</v>
      </c>
    </row>
    <row r="25" spans="1:11" x14ac:dyDescent="0.2">
      <c r="A25" s="2" t="s">
        <v>63</v>
      </c>
      <c r="B25" s="4">
        <v>3</v>
      </c>
      <c r="C25" s="5">
        <v>1</v>
      </c>
      <c r="D25" s="10">
        <v>2</v>
      </c>
      <c r="E25" s="11">
        <v>1</v>
      </c>
      <c r="F25" s="10">
        <v>3</v>
      </c>
      <c r="G25" s="11">
        <v>1</v>
      </c>
      <c r="H25" s="10">
        <v>1</v>
      </c>
      <c r="I25" s="11">
        <v>1</v>
      </c>
      <c r="J25" s="10">
        <v>3</v>
      </c>
      <c r="K25" s="11">
        <v>1</v>
      </c>
    </row>
    <row r="26" spans="1:11" x14ac:dyDescent="0.2">
      <c r="A26" s="2" t="s">
        <v>19</v>
      </c>
      <c r="B26" s="4">
        <v>3</v>
      </c>
      <c r="C26" s="5">
        <v>0</v>
      </c>
      <c r="D26" s="10">
        <v>2</v>
      </c>
      <c r="E26" s="11">
        <v>0</v>
      </c>
      <c r="F26" s="10">
        <v>2</v>
      </c>
      <c r="G26" s="11">
        <v>0</v>
      </c>
      <c r="H26" s="10">
        <v>1</v>
      </c>
      <c r="I26" s="11">
        <v>0</v>
      </c>
      <c r="J26" s="10">
        <v>2</v>
      </c>
      <c r="K26" s="11">
        <v>0</v>
      </c>
    </row>
    <row r="27" spans="1:11" x14ac:dyDescent="0.2">
      <c r="A27" s="2" t="s">
        <v>71</v>
      </c>
      <c r="B27" s="4">
        <v>3</v>
      </c>
      <c r="C27" s="5">
        <v>0</v>
      </c>
      <c r="D27" s="10">
        <v>1</v>
      </c>
      <c r="E27" s="11">
        <v>0</v>
      </c>
      <c r="F27" s="10">
        <v>2</v>
      </c>
      <c r="G27" s="11">
        <v>0</v>
      </c>
      <c r="H27" s="10">
        <v>1</v>
      </c>
      <c r="I27" s="11">
        <v>0</v>
      </c>
      <c r="J27" s="10">
        <v>2</v>
      </c>
      <c r="K27" s="11">
        <v>0</v>
      </c>
    </row>
    <row r="28" spans="1:11" x14ac:dyDescent="0.2">
      <c r="A28" s="3" t="s">
        <v>30</v>
      </c>
      <c r="B28" s="6">
        <v>3</v>
      </c>
      <c r="C28" s="7">
        <v>0</v>
      </c>
      <c r="D28" s="8">
        <v>1</v>
      </c>
      <c r="E28" s="9">
        <v>0</v>
      </c>
      <c r="F28" s="8">
        <v>1</v>
      </c>
      <c r="G28" s="9">
        <v>0</v>
      </c>
      <c r="H28" s="8">
        <v>1</v>
      </c>
      <c r="I28" s="9">
        <v>0</v>
      </c>
      <c r="J28" s="8">
        <v>2</v>
      </c>
      <c r="K28" s="9">
        <v>0</v>
      </c>
    </row>
    <row r="29" spans="1:11" x14ac:dyDescent="0.2">
      <c r="A29" s="3" t="s">
        <v>56</v>
      </c>
      <c r="B29" s="6">
        <v>3</v>
      </c>
      <c r="C29" s="7">
        <v>0</v>
      </c>
      <c r="D29" s="8">
        <v>2</v>
      </c>
      <c r="E29" s="9">
        <v>0</v>
      </c>
      <c r="F29" s="8">
        <v>1</v>
      </c>
      <c r="G29" s="9">
        <v>0</v>
      </c>
      <c r="H29" s="8">
        <v>1</v>
      </c>
      <c r="I29" s="9">
        <v>0</v>
      </c>
      <c r="J29" s="8">
        <v>1</v>
      </c>
      <c r="K29" s="9">
        <v>0</v>
      </c>
    </row>
    <row r="30" spans="1:11" x14ac:dyDescent="0.2">
      <c r="A30" s="2" t="s">
        <v>5</v>
      </c>
      <c r="B30" s="4">
        <v>3</v>
      </c>
      <c r="C30" s="5">
        <v>0</v>
      </c>
      <c r="D30" s="10">
        <v>1</v>
      </c>
      <c r="E30" s="11">
        <v>0</v>
      </c>
      <c r="F30" s="10">
        <v>1</v>
      </c>
      <c r="G30" s="11">
        <v>0</v>
      </c>
      <c r="H30" s="10">
        <v>1</v>
      </c>
      <c r="I30" s="11">
        <v>0</v>
      </c>
      <c r="J30" s="10">
        <v>1</v>
      </c>
      <c r="K30" s="11">
        <v>0</v>
      </c>
    </row>
    <row r="31" spans="1:11" x14ac:dyDescent="0.2">
      <c r="A31" s="2" t="s">
        <v>7</v>
      </c>
      <c r="B31" s="4">
        <v>3</v>
      </c>
      <c r="C31" s="5">
        <v>0</v>
      </c>
      <c r="D31" s="10">
        <v>1</v>
      </c>
      <c r="E31" s="11">
        <v>0</v>
      </c>
      <c r="F31" s="10">
        <v>1</v>
      </c>
      <c r="G31" s="11">
        <v>0</v>
      </c>
      <c r="H31" s="10">
        <v>1</v>
      </c>
      <c r="I31" s="11">
        <v>0</v>
      </c>
      <c r="J31" s="10">
        <v>1</v>
      </c>
      <c r="K31" s="11">
        <v>0</v>
      </c>
    </row>
    <row r="32" spans="1:11" x14ac:dyDescent="0.2">
      <c r="A32" s="3" t="s">
        <v>14</v>
      </c>
      <c r="B32" s="6">
        <v>3</v>
      </c>
      <c r="C32" s="7">
        <v>0</v>
      </c>
      <c r="D32" s="8">
        <v>1</v>
      </c>
      <c r="E32" s="9">
        <v>0</v>
      </c>
      <c r="F32" s="8">
        <v>1</v>
      </c>
      <c r="G32" s="9">
        <v>0</v>
      </c>
      <c r="H32" s="8">
        <v>1</v>
      </c>
      <c r="I32" s="9">
        <v>0</v>
      </c>
      <c r="J32" s="8">
        <v>1</v>
      </c>
      <c r="K32" s="9">
        <v>0</v>
      </c>
    </row>
    <row r="33" spans="1:11" x14ac:dyDescent="0.2">
      <c r="A33" s="2" t="s">
        <v>17</v>
      </c>
      <c r="B33" s="4">
        <v>3</v>
      </c>
      <c r="C33" s="5">
        <v>0</v>
      </c>
      <c r="D33" s="10">
        <v>1</v>
      </c>
      <c r="E33" s="11">
        <v>0</v>
      </c>
      <c r="F33" s="10">
        <v>1</v>
      </c>
      <c r="G33" s="11">
        <v>0</v>
      </c>
      <c r="H33" s="10">
        <v>1</v>
      </c>
      <c r="I33" s="11">
        <v>0</v>
      </c>
      <c r="J33" s="10">
        <v>1</v>
      </c>
      <c r="K33" s="11">
        <v>0</v>
      </c>
    </row>
    <row r="34" spans="1:11" x14ac:dyDescent="0.2">
      <c r="A34" s="2" t="s">
        <v>73</v>
      </c>
      <c r="B34" s="4">
        <v>3</v>
      </c>
      <c r="C34" s="5">
        <v>0</v>
      </c>
      <c r="D34" s="10">
        <v>1</v>
      </c>
      <c r="E34" s="11">
        <v>0</v>
      </c>
      <c r="F34" s="10">
        <v>1</v>
      </c>
      <c r="G34" s="11">
        <v>0</v>
      </c>
      <c r="H34" s="10">
        <v>1</v>
      </c>
      <c r="I34" s="11">
        <v>0</v>
      </c>
      <c r="J34" s="10">
        <v>1</v>
      </c>
      <c r="K34" s="11">
        <v>0</v>
      </c>
    </row>
    <row r="35" spans="1:11" x14ac:dyDescent="0.2">
      <c r="A35" s="2" t="s">
        <v>25</v>
      </c>
      <c r="B35" s="4">
        <v>3</v>
      </c>
      <c r="C35" s="5">
        <v>0</v>
      </c>
      <c r="D35" s="10">
        <v>1</v>
      </c>
      <c r="E35" s="11">
        <v>0</v>
      </c>
      <c r="F35" s="10">
        <v>2</v>
      </c>
      <c r="G35" s="11">
        <v>0</v>
      </c>
      <c r="H35" s="10">
        <v>1</v>
      </c>
      <c r="I35" s="11">
        <v>0</v>
      </c>
      <c r="J35" s="10">
        <v>0</v>
      </c>
      <c r="K35" s="11">
        <v>0</v>
      </c>
    </row>
    <row r="36" spans="1:11" x14ac:dyDescent="0.2">
      <c r="A36" s="3" t="s">
        <v>12</v>
      </c>
      <c r="B36" s="6">
        <v>3</v>
      </c>
      <c r="C36" s="7">
        <v>1</v>
      </c>
      <c r="D36" s="8">
        <v>1</v>
      </c>
      <c r="E36" s="9">
        <v>1</v>
      </c>
      <c r="F36" s="8">
        <v>1</v>
      </c>
      <c r="G36" s="9">
        <v>1</v>
      </c>
      <c r="H36" s="8">
        <v>1</v>
      </c>
      <c r="I36" s="9">
        <v>1</v>
      </c>
      <c r="J36" s="8">
        <v>0</v>
      </c>
      <c r="K36" s="9">
        <v>1</v>
      </c>
    </row>
    <row r="37" spans="1:11" x14ac:dyDescent="0.2">
      <c r="A37" s="2" t="s">
        <v>21</v>
      </c>
      <c r="B37" s="4">
        <v>3</v>
      </c>
      <c r="C37" s="5">
        <v>1</v>
      </c>
      <c r="D37" s="10">
        <v>1</v>
      </c>
      <c r="E37" s="11">
        <v>1</v>
      </c>
      <c r="F37" s="10">
        <v>1</v>
      </c>
      <c r="G37" s="11">
        <v>1</v>
      </c>
      <c r="H37" s="10">
        <v>1</v>
      </c>
      <c r="I37" s="11">
        <v>1</v>
      </c>
      <c r="J37" s="10">
        <v>0</v>
      </c>
      <c r="K37" s="11">
        <v>1</v>
      </c>
    </row>
    <row r="38" spans="1:11" x14ac:dyDescent="0.2">
      <c r="A38" s="3" t="s">
        <v>88</v>
      </c>
      <c r="B38" s="6">
        <v>2</v>
      </c>
      <c r="C38" s="7">
        <v>1</v>
      </c>
      <c r="D38" s="8">
        <v>2</v>
      </c>
      <c r="E38" s="9">
        <v>1</v>
      </c>
      <c r="F38" s="8">
        <v>1</v>
      </c>
      <c r="G38" s="9">
        <v>1</v>
      </c>
      <c r="H38" s="8">
        <v>1</v>
      </c>
      <c r="I38" s="9">
        <v>1</v>
      </c>
      <c r="J38" s="8">
        <v>1</v>
      </c>
      <c r="K38" s="9">
        <v>1</v>
      </c>
    </row>
    <row r="39" spans="1:11" x14ac:dyDescent="0.2">
      <c r="A39" s="2" t="s">
        <v>107</v>
      </c>
      <c r="B39" s="4">
        <v>2</v>
      </c>
      <c r="C39" s="5">
        <v>1</v>
      </c>
      <c r="D39" s="10">
        <v>2</v>
      </c>
      <c r="E39" s="11">
        <v>1</v>
      </c>
      <c r="F39" s="10">
        <v>1</v>
      </c>
      <c r="G39" s="11">
        <v>1</v>
      </c>
      <c r="H39" s="10">
        <v>1</v>
      </c>
      <c r="I39" s="11">
        <v>1</v>
      </c>
      <c r="J39" s="10">
        <v>1</v>
      </c>
      <c r="K39" s="11">
        <v>1</v>
      </c>
    </row>
    <row r="40" spans="1:11" x14ac:dyDescent="0.2">
      <c r="A40" s="3" t="s">
        <v>92</v>
      </c>
      <c r="B40" s="6">
        <v>2</v>
      </c>
      <c r="C40" s="7">
        <v>0</v>
      </c>
      <c r="D40" s="8">
        <v>2</v>
      </c>
      <c r="E40" s="9">
        <v>0</v>
      </c>
      <c r="F40" s="8">
        <v>2</v>
      </c>
      <c r="G40" s="9">
        <v>0</v>
      </c>
      <c r="H40" s="8">
        <v>1</v>
      </c>
      <c r="I40" s="9">
        <v>0</v>
      </c>
      <c r="J40" s="8">
        <v>0</v>
      </c>
      <c r="K40" s="9">
        <v>0</v>
      </c>
    </row>
    <row r="41" spans="1:11" x14ac:dyDescent="0.2">
      <c r="A41" s="2" t="s">
        <v>43</v>
      </c>
      <c r="B41" s="4">
        <v>2</v>
      </c>
      <c r="C41" s="5">
        <v>0</v>
      </c>
      <c r="D41" s="10">
        <v>2</v>
      </c>
      <c r="E41" s="11">
        <v>0</v>
      </c>
      <c r="F41" s="10">
        <v>1</v>
      </c>
      <c r="G41" s="11">
        <v>0</v>
      </c>
      <c r="H41" s="10">
        <v>1</v>
      </c>
      <c r="I41" s="11">
        <v>0</v>
      </c>
      <c r="J41" s="10">
        <v>0</v>
      </c>
      <c r="K41" s="11">
        <v>0</v>
      </c>
    </row>
    <row r="42" spans="1:11" x14ac:dyDescent="0.2">
      <c r="A42" s="2" t="s">
        <v>67</v>
      </c>
      <c r="B42" s="4">
        <v>0</v>
      </c>
      <c r="C42" s="5">
        <v>1</v>
      </c>
      <c r="D42" s="10">
        <v>2</v>
      </c>
      <c r="E42" s="11">
        <v>1</v>
      </c>
      <c r="F42" s="10">
        <v>2</v>
      </c>
      <c r="G42" s="11">
        <v>1</v>
      </c>
      <c r="H42" s="10">
        <v>1</v>
      </c>
      <c r="I42" s="11">
        <v>1</v>
      </c>
      <c r="J42" s="10">
        <v>2</v>
      </c>
      <c r="K42" s="11">
        <v>1</v>
      </c>
    </row>
    <row r="43" spans="1:11" x14ac:dyDescent="0.2">
      <c r="A43" s="3" t="s">
        <v>96</v>
      </c>
      <c r="B43" s="6">
        <v>0</v>
      </c>
      <c r="C43" s="7">
        <v>0</v>
      </c>
      <c r="D43" s="8">
        <v>2</v>
      </c>
      <c r="E43" s="9">
        <v>0</v>
      </c>
      <c r="F43" s="8">
        <v>3</v>
      </c>
      <c r="G43" s="9">
        <v>0</v>
      </c>
      <c r="H43" s="8">
        <v>1</v>
      </c>
      <c r="I43" s="9">
        <v>0</v>
      </c>
      <c r="J43" s="8">
        <v>0</v>
      </c>
      <c r="K43" s="9">
        <v>0</v>
      </c>
    </row>
    <row r="44" spans="1:11" x14ac:dyDescent="0.2">
      <c r="A44" s="2" t="s">
        <v>13</v>
      </c>
      <c r="B44" s="4">
        <v>2</v>
      </c>
      <c r="C44" s="5">
        <v>1</v>
      </c>
      <c r="D44" s="10">
        <v>1</v>
      </c>
      <c r="E44" s="11">
        <v>1</v>
      </c>
      <c r="F44" s="10">
        <v>1</v>
      </c>
      <c r="G44" s="11">
        <v>1</v>
      </c>
      <c r="H44" s="10">
        <v>0</v>
      </c>
      <c r="I44" s="11">
        <v>1</v>
      </c>
      <c r="J44" s="10">
        <v>1</v>
      </c>
      <c r="K44" s="11">
        <v>1</v>
      </c>
    </row>
    <row r="45" spans="1:11" x14ac:dyDescent="0.2">
      <c r="A45" s="3" t="s">
        <v>70</v>
      </c>
      <c r="B45" s="6">
        <v>2</v>
      </c>
      <c r="C45" s="7">
        <v>1</v>
      </c>
      <c r="D45" s="8">
        <v>1</v>
      </c>
      <c r="E45" s="9">
        <v>1</v>
      </c>
      <c r="F45" s="8">
        <v>0</v>
      </c>
      <c r="G45" s="9">
        <v>1</v>
      </c>
      <c r="H45" s="8">
        <v>0</v>
      </c>
      <c r="I45" s="9">
        <v>1</v>
      </c>
      <c r="J45" s="8">
        <v>0</v>
      </c>
      <c r="K45" s="9">
        <v>1</v>
      </c>
    </row>
    <row r="46" spans="1:11" x14ac:dyDescent="0.2">
      <c r="A46" s="3" t="s">
        <v>116</v>
      </c>
      <c r="B46" s="6">
        <v>2</v>
      </c>
      <c r="C46" s="7">
        <v>1</v>
      </c>
      <c r="D46" s="8">
        <v>0</v>
      </c>
      <c r="E46" s="9">
        <v>1</v>
      </c>
      <c r="F46" s="8">
        <v>0</v>
      </c>
      <c r="G46" s="9">
        <v>1</v>
      </c>
      <c r="H46" s="8">
        <v>0</v>
      </c>
      <c r="I46" s="9">
        <v>1</v>
      </c>
      <c r="J46" s="8">
        <v>0</v>
      </c>
      <c r="K46" s="9">
        <v>1</v>
      </c>
    </row>
    <row r="47" spans="1:11" x14ac:dyDescent="0.2">
      <c r="A47" s="3" t="s">
        <v>44</v>
      </c>
      <c r="B47" s="6">
        <v>1</v>
      </c>
      <c r="C47" s="7">
        <v>0</v>
      </c>
      <c r="D47" s="8">
        <v>1</v>
      </c>
      <c r="E47" s="9">
        <v>0</v>
      </c>
      <c r="F47" s="8">
        <v>1</v>
      </c>
      <c r="G47" s="9">
        <v>0</v>
      </c>
      <c r="H47" s="8">
        <v>0</v>
      </c>
      <c r="I47" s="9">
        <v>0</v>
      </c>
      <c r="J47" s="8">
        <v>1</v>
      </c>
      <c r="K47" s="9">
        <v>0</v>
      </c>
    </row>
    <row r="48" spans="1:11" x14ac:dyDescent="0.2">
      <c r="A48" s="2" t="s">
        <v>65</v>
      </c>
      <c r="B48" s="4">
        <v>1</v>
      </c>
      <c r="C48" s="5">
        <v>1</v>
      </c>
      <c r="D48" s="10">
        <v>1</v>
      </c>
      <c r="E48" s="11">
        <v>1</v>
      </c>
      <c r="F48" s="10">
        <v>1</v>
      </c>
      <c r="G48" s="11">
        <v>1</v>
      </c>
      <c r="H48" s="10">
        <v>0</v>
      </c>
      <c r="I48" s="11">
        <v>1</v>
      </c>
      <c r="J48" s="10">
        <v>0</v>
      </c>
      <c r="K48" s="11">
        <v>1</v>
      </c>
    </row>
    <row r="49" spans="1:11" x14ac:dyDescent="0.2">
      <c r="A49" s="3" t="s">
        <v>38</v>
      </c>
      <c r="B49" s="6">
        <v>1</v>
      </c>
      <c r="C49" s="7">
        <v>0</v>
      </c>
      <c r="D49" s="8">
        <v>0</v>
      </c>
      <c r="E49" s="9">
        <v>0</v>
      </c>
      <c r="F49" s="8">
        <v>1</v>
      </c>
      <c r="G49" s="9">
        <v>0</v>
      </c>
      <c r="H49" s="8">
        <v>0</v>
      </c>
      <c r="I49" s="9">
        <v>0</v>
      </c>
      <c r="J49" s="8">
        <v>0</v>
      </c>
      <c r="K49" s="9">
        <v>0</v>
      </c>
    </row>
    <row r="50" spans="1:11" x14ac:dyDescent="0.2">
      <c r="A50" s="2" t="s">
        <v>57</v>
      </c>
      <c r="B50" s="4">
        <v>1</v>
      </c>
      <c r="C50" s="5">
        <v>1</v>
      </c>
      <c r="D50" s="10">
        <v>1</v>
      </c>
      <c r="E50" s="11">
        <v>1</v>
      </c>
      <c r="F50" s="10">
        <v>0</v>
      </c>
      <c r="G50" s="11">
        <v>1</v>
      </c>
      <c r="H50" s="10">
        <v>0</v>
      </c>
      <c r="I50" s="11">
        <v>1</v>
      </c>
      <c r="J50" s="10">
        <v>0</v>
      </c>
      <c r="K50" s="11">
        <v>1</v>
      </c>
    </row>
    <row r="51" spans="1:11" x14ac:dyDescent="0.2">
      <c r="A51" s="3" t="s">
        <v>76</v>
      </c>
      <c r="B51" s="6">
        <v>1</v>
      </c>
      <c r="C51" s="7">
        <v>0</v>
      </c>
      <c r="D51" s="8">
        <v>1</v>
      </c>
      <c r="E51" s="9">
        <v>0</v>
      </c>
      <c r="F51" s="8">
        <v>0</v>
      </c>
      <c r="G51" s="9">
        <v>0</v>
      </c>
      <c r="H51" s="8">
        <v>0</v>
      </c>
      <c r="I51" s="9">
        <v>0</v>
      </c>
      <c r="J51" s="8">
        <v>0</v>
      </c>
      <c r="K51" s="9">
        <v>0</v>
      </c>
    </row>
    <row r="52" spans="1:11" x14ac:dyDescent="0.2">
      <c r="A52" s="3" t="s">
        <v>24</v>
      </c>
      <c r="B52" s="6">
        <v>0</v>
      </c>
      <c r="C52" s="7">
        <v>0</v>
      </c>
      <c r="D52" s="8">
        <v>1</v>
      </c>
      <c r="E52" s="9">
        <v>0</v>
      </c>
      <c r="F52" s="8">
        <v>1</v>
      </c>
      <c r="G52" s="9">
        <v>0</v>
      </c>
      <c r="H52" s="8">
        <v>0</v>
      </c>
      <c r="I52" s="9">
        <v>0</v>
      </c>
      <c r="J52" s="8">
        <v>2</v>
      </c>
      <c r="K52" s="9">
        <v>0</v>
      </c>
    </row>
    <row r="53" spans="1:11" x14ac:dyDescent="0.2">
      <c r="A53" s="2" t="s">
        <v>55</v>
      </c>
      <c r="B53" s="4">
        <v>0</v>
      </c>
      <c r="C53" s="5">
        <v>0</v>
      </c>
      <c r="D53" s="10">
        <v>0</v>
      </c>
      <c r="E53" s="11">
        <v>0</v>
      </c>
      <c r="F53" s="10">
        <v>1</v>
      </c>
      <c r="G53" s="11">
        <v>0</v>
      </c>
      <c r="H53" s="10">
        <v>0</v>
      </c>
      <c r="I53" s="11">
        <v>0</v>
      </c>
      <c r="J53" s="10">
        <v>1</v>
      </c>
      <c r="K53" s="11">
        <v>0</v>
      </c>
    </row>
    <row r="54" spans="1:11" x14ac:dyDescent="0.2">
      <c r="A54" s="3" t="s">
        <v>32</v>
      </c>
      <c r="B54" s="6">
        <v>0</v>
      </c>
      <c r="C54" s="7">
        <v>0</v>
      </c>
      <c r="D54" s="8">
        <v>1</v>
      </c>
      <c r="E54" s="9">
        <v>0</v>
      </c>
      <c r="F54" s="8">
        <v>0</v>
      </c>
      <c r="G54" s="9">
        <v>0</v>
      </c>
      <c r="H54" s="8">
        <v>0</v>
      </c>
      <c r="I54" s="9">
        <v>0</v>
      </c>
      <c r="J54" s="8">
        <v>1</v>
      </c>
      <c r="K54" s="9">
        <v>0</v>
      </c>
    </row>
    <row r="55" spans="1:11" x14ac:dyDescent="0.2">
      <c r="A55" s="2" t="s">
        <v>41</v>
      </c>
      <c r="B55" s="4">
        <v>0</v>
      </c>
      <c r="C55" s="5">
        <v>0</v>
      </c>
      <c r="D55" s="10">
        <v>0</v>
      </c>
      <c r="E55" s="11">
        <v>0</v>
      </c>
      <c r="F55" s="10">
        <v>0</v>
      </c>
      <c r="G55" s="11">
        <v>0</v>
      </c>
      <c r="H55" s="10">
        <v>0</v>
      </c>
      <c r="I55" s="11">
        <v>0</v>
      </c>
      <c r="J55" s="10">
        <v>1</v>
      </c>
      <c r="K55" s="11">
        <v>0</v>
      </c>
    </row>
    <row r="56" spans="1:11" x14ac:dyDescent="0.2">
      <c r="A56" s="3" t="s">
        <v>72</v>
      </c>
      <c r="B56" s="8">
        <v>0</v>
      </c>
      <c r="C56" s="9">
        <v>0</v>
      </c>
      <c r="D56" s="8">
        <v>0</v>
      </c>
      <c r="E56" s="9">
        <v>0</v>
      </c>
      <c r="F56" s="8">
        <v>0</v>
      </c>
      <c r="G56" s="9">
        <v>0</v>
      </c>
      <c r="H56" s="8">
        <v>0</v>
      </c>
      <c r="I56" s="9">
        <v>0</v>
      </c>
      <c r="J56" s="8">
        <v>1</v>
      </c>
      <c r="K56" s="9">
        <v>0</v>
      </c>
    </row>
    <row r="57" spans="1:11" x14ac:dyDescent="0.2">
      <c r="A57" s="2" t="s">
        <v>89</v>
      </c>
      <c r="B57" s="10">
        <v>0</v>
      </c>
      <c r="C57" s="11">
        <v>0</v>
      </c>
      <c r="D57" s="10">
        <v>0</v>
      </c>
      <c r="E57" s="11">
        <v>0</v>
      </c>
      <c r="F57" s="10">
        <v>0</v>
      </c>
      <c r="G57" s="11">
        <v>0</v>
      </c>
      <c r="H57" s="10">
        <v>0</v>
      </c>
      <c r="I57" s="11">
        <v>0</v>
      </c>
      <c r="J57" s="10">
        <v>1</v>
      </c>
      <c r="K57" s="11">
        <v>0</v>
      </c>
    </row>
    <row r="58" spans="1:11" x14ac:dyDescent="0.2">
      <c r="A58" s="3" t="s">
        <v>94</v>
      </c>
      <c r="B58" s="6">
        <v>0</v>
      </c>
      <c r="C58" s="7">
        <v>0</v>
      </c>
      <c r="D58" s="8">
        <v>0</v>
      </c>
      <c r="E58" s="9">
        <v>0</v>
      </c>
      <c r="F58" s="8">
        <v>0</v>
      </c>
      <c r="G58" s="9">
        <v>0</v>
      </c>
      <c r="H58" s="8">
        <v>0</v>
      </c>
      <c r="I58" s="9">
        <v>0</v>
      </c>
      <c r="J58" s="8">
        <v>1</v>
      </c>
      <c r="K58" s="9">
        <v>0</v>
      </c>
    </row>
    <row r="59" spans="1:11" x14ac:dyDescent="0.2">
      <c r="A59" s="2" t="s">
        <v>115</v>
      </c>
      <c r="B59" s="4">
        <v>0</v>
      </c>
      <c r="C59" s="5">
        <v>0</v>
      </c>
      <c r="D59" s="10">
        <v>0</v>
      </c>
      <c r="E59" s="11">
        <v>0</v>
      </c>
      <c r="F59" s="10">
        <v>0</v>
      </c>
      <c r="G59" s="11">
        <v>0</v>
      </c>
      <c r="H59" s="10">
        <v>0</v>
      </c>
      <c r="I59" s="11">
        <v>0</v>
      </c>
      <c r="J59" s="10">
        <v>1</v>
      </c>
      <c r="K59" s="11">
        <v>0</v>
      </c>
    </row>
    <row r="60" spans="1:11" x14ac:dyDescent="0.2">
      <c r="A60" s="3" t="s">
        <v>4</v>
      </c>
      <c r="B60" s="6">
        <v>0</v>
      </c>
      <c r="C60" s="7">
        <v>1</v>
      </c>
      <c r="D60" s="8">
        <v>1</v>
      </c>
      <c r="E60" s="9">
        <v>1</v>
      </c>
      <c r="F60" s="8">
        <v>1</v>
      </c>
      <c r="G60" s="9">
        <v>1</v>
      </c>
      <c r="H60" s="8">
        <v>0</v>
      </c>
      <c r="I60" s="9">
        <v>1</v>
      </c>
      <c r="J60" s="8">
        <v>0</v>
      </c>
      <c r="K60" s="9">
        <v>1</v>
      </c>
    </row>
    <row r="61" spans="1:11" x14ac:dyDescent="0.2">
      <c r="A61" s="3" t="s">
        <v>16</v>
      </c>
      <c r="B61" s="6">
        <v>0</v>
      </c>
      <c r="C61" s="7">
        <v>0</v>
      </c>
      <c r="D61" s="8">
        <v>1</v>
      </c>
      <c r="E61" s="9">
        <v>0</v>
      </c>
      <c r="F61" s="8">
        <v>1</v>
      </c>
      <c r="G61" s="9">
        <v>0</v>
      </c>
      <c r="H61" s="8">
        <v>0</v>
      </c>
      <c r="I61" s="9">
        <v>0</v>
      </c>
      <c r="J61" s="8">
        <v>0</v>
      </c>
      <c r="K61" s="9">
        <v>0</v>
      </c>
    </row>
    <row r="62" spans="1:11" x14ac:dyDescent="0.2">
      <c r="A62" s="2" t="s">
        <v>23</v>
      </c>
      <c r="B62" s="4">
        <v>0</v>
      </c>
      <c r="C62" s="5">
        <v>0</v>
      </c>
      <c r="D62" s="10">
        <v>1</v>
      </c>
      <c r="E62" s="11">
        <v>0</v>
      </c>
      <c r="F62" s="10">
        <v>1</v>
      </c>
      <c r="G62" s="11">
        <v>0</v>
      </c>
      <c r="H62" s="10">
        <v>0</v>
      </c>
      <c r="I62" s="11">
        <v>0</v>
      </c>
      <c r="J62" s="10">
        <v>0</v>
      </c>
      <c r="K62" s="11">
        <v>0</v>
      </c>
    </row>
    <row r="63" spans="1:11" x14ac:dyDescent="0.2">
      <c r="A63" s="2" t="s">
        <v>101</v>
      </c>
      <c r="B63" s="4">
        <v>0</v>
      </c>
      <c r="C63" s="5">
        <v>1</v>
      </c>
      <c r="D63" s="10">
        <v>1</v>
      </c>
      <c r="E63" s="11">
        <v>0</v>
      </c>
      <c r="F63" s="10">
        <v>1</v>
      </c>
      <c r="G63" s="11">
        <v>1</v>
      </c>
      <c r="H63" s="10">
        <v>0</v>
      </c>
      <c r="I63" s="11">
        <v>0</v>
      </c>
      <c r="J63" s="10">
        <v>0</v>
      </c>
      <c r="K63" s="11">
        <v>1</v>
      </c>
    </row>
    <row r="64" spans="1:11" x14ac:dyDescent="0.2">
      <c r="A64" s="2" t="s">
        <v>1</v>
      </c>
      <c r="B64" s="4">
        <v>0</v>
      </c>
      <c r="C64" s="5">
        <v>0</v>
      </c>
      <c r="D64" s="10">
        <v>0</v>
      </c>
      <c r="E64" s="11">
        <v>0</v>
      </c>
      <c r="F64" s="10">
        <v>1</v>
      </c>
      <c r="G64" s="11">
        <v>0</v>
      </c>
      <c r="H64" s="10">
        <v>0</v>
      </c>
      <c r="I64" s="11">
        <v>0</v>
      </c>
      <c r="J64" s="10">
        <v>0</v>
      </c>
      <c r="K64" s="11">
        <v>0</v>
      </c>
    </row>
    <row r="65" spans="1:11" x14ac:dyDescent="0.2">
      <c r="A65" s="2" t="s">
        <v>39</v>
      </c>
      <c r="B65" s="4">
        <v>0</v>
      </c>
      <c r="C65" s="5">
        <v>1</v>
      </c>
      <c r="D65" s="10">
        <v>0</v>
      </c>
      <c r="E65" s="11">
        <v>1</v>
      </c>
      <c r="F65" s="10">
        <v>1</v>
      </c>
      <c r="G65" s="11">
        <v>1</v>
      </c>
      <c r="H65" s="10">
        <v>0</v>
      </c>
      <c r="I65" s="11">
        <v>1</v>
      </c>
      <c r="J65" s="10">
        <v>0</v>
      </c>
      <c r="K65" s="11">
        <v>1</v>
      </c>
    </row>
    <row r="66" spans="1:11" x14ac:dyDescent="0.2">
      <c r="A66" s="3" t="s">
        <v>20</v>
      </c>
      <c r="B66" s="6">
        <v>0</v>
      </c>
      <c r="C66" s="7">
        <v>0</v>
      </c>
      <c r="D66" s="8">
        <v>1</v>
      </c>
      <c r="E66" s="9">
        <v>0</v>
      </c>
      <c r="F66" s="8">
        <v>0</v>
      </c>
      <c r="G66" s="9">
        <v>0</v>
      </c>
      <c r="H66" s="8">
        <v>0</v>
      </c>
      <c r="I66" s="9">
        <v>0</v>
      </c>
      <c r="J66" s="8">
        <v>0</v>
      </c>
      <c r="K66" s="9">
        <v>0</v>
      </c>
    </row>
    <row r="67" spans="1:11" x14ac:dyDescent="0.2">
      <c r="A67" s="3" t="s">
        <v>28</v>
      </c>
      <c r="B67" s="8">
        <v>0</v>
      </c>
      <c r="C67" s="9">
        <v>1</v>
      </c>
      <c r="D67" s="8">
        <v>1</v>
      </c>
      <c r="E67" s="9">
        <v>1</v>
      </c>
      <c r="F67" s="8">
        <v>0</v>
      </c>
      <c r="G67" s="9">
        <v>1</v>
      </c>
      <c r="H67" s="8">
        <v>0</v>
      </c>
      <c r="I67" s="9">
        <v>1</v>
      </c>
      <c r="J67" s="8">
        <v>0</v>
      </c>
      <c r="K67" s="9">
        <v>1</v>
      </c>
    </row>
    <row r="68" spans="1:11" x14ac:dyDescent="0.2">
      <c r="A68" s="2" t="s">
        <v>61</v>
      </c>
      <c r="B68" s="4">
        <v>0</v>
      </c>
      <c r="C68" s="5">
        <v>1</v>
      </c>
      <c r="D68" s="10">
        <v>1</v>
      </c>
      <c r="E68" s="11">
        <v>1</v>
      </c>
      <c r="F68" s="10">
        <v>0</v>
      </c>
      <c r="G68" s="11">
        <v>1</v>
      </c>
      <c r="H68" s="10">
        <v>0</v>
      </c>
      <c r="I68" s="11">
        <v>1</v>
      </c>
      <c r="J68" s="10">
        <v>0</v>
      </c>
      <c r="K68" s="11">
        <v>1</v>
      </c>
    </row>
    <row r="69" spans="1:11" x14ac:dyDescent="0.2">
      <c r="A69" s="2" t="s">
        <v>75</v>
      </c>
      <c r="B69" s="4">
        <v>0</v>
      </c>
      <c r="C69" s="5">
        <v>0</v>
      </c>
      <c r="D69" s="10">
        <v>1</v>
      </c>
      <c r="E69" s="11">
        <v>0</v>
      </c>
      <c r="F69" s="10">
        <v>0</v>
      </c>
      <c r="G69" s="11">
        <v>0</v>
      </c>
      <c r="H69" s="10">
        <v>0</v>
      </c>
      <c r="I69" s="11">
        <v>0</v>
      </c>
      <c r="J69" s="10">
        <v>0</v>
      </c>
      <c r="K69" s="11">
        <v>0</v>
      </c>
    </row>
    <row r="70" spans="1:11" x14ac:dyDescent="0.2">
      <c r="A70" s="3" t="s">
        <v>108</v>
      </c>
      <c r="B70" s="6">
        <v>0</v>
      </c>
      <c r="C70" s="7">
        <v>0</v>
      </c>
      <c r="D70" s="8">
        <v>1</v>
      </c>
      <c r="E70" s="9">
        <v>0</v>
      </c>
      <c r="F70" s="8">
        <v>0</v>
      </c>
      <c r="G70" s="9">
        <v>0</v>
      </c>
      <c r="H70" s="8">
        <v>0</v>
      </c>
      <c r="I70" s="9">
        <v>0</v>
      </c>
      <c r="J70" s="8">
        <v>0</v>
      </c>
      <c r="K70" s="9">
        <v>0</v>
      </c>
    </row>
    <row r="71" spans="1:11" x14ac:dyDescent="0.2">
      <c r="A71" s="2" t="s">
        <v>111</v>
      </c>
      <c r="B71" s="4">
        <v>0</v>
      </c>
      <c r="C71" s="5">
        <v>0</v>
      </c>
      <c r="D71" s="10">
        <v>1</v>
      </c>
      <c r="E71" s="11">
        <v>0</v>
      </c>
      <c r="F71" s="10">
        <v>0</v>
      </c>
      <c r="G71" s="11">
        <v>0</v>
      </c>
      <c r="H71" s="10">
        <v>0</v>
      </c>
      <c r="I71" s="11">
        <v>0</v>
      </c>
      <c r="J71" s="10">
        <v>0</v>
      </c>
      <c r="K71" s="11">
        <v>0</v>
      </c>
    </row>
    <row r="72" spans="1:11" x14ac:dyDescent="0.2">
      <c r="A72" s="3" t="s">
        <v>2</v>
      </c>
      <c r="B72" s="6">
        <v>0</v>
      </c>
      <c r="C72" s="7">
        <v>0</v>
      </c>
      <c r="D72" s="8">
        <v>0</v>
      </c>
      <c r="E72" s="9">
        <v>0</v>
      </c>
      <c r="F72" s="8">
        <v>0</v>
      </c>
      <c r="G72" s="9">
        <v>0</v>
      </c>
      <c r="H72" s="8">
        <v>0</v>
      </c>
      <c r="I72" s="9">
        <v>0</v>
      </c>
      <c r="J72" s="8">
        <v>0</v>
      </c>
      <c r="K72" s="9">
        <v>0</v>
      </c>
    </row>
    <row r="73" spans="1:11" x14ac:dyDescent="0.2">
      <c r="A73" s="3" t="s">
        <v>6</v>
      </c>
      <c r="B73" s="6">
        <v>0</v>
      </c>
      <c r="C73" s="7">
        <v>1</v>
      </c>
      <c r="D73" s="8">
        <v>0</v>
      </c>
      <c r="E73" s="9">
        <v>1</v>
      </c>
      <c r="F73" s="8">
        <v>0</v>
      </c>
      <c r="G73" s="9">
        <v>1</v>
      </c>
      <c r="H73" s="8">
        <v>0</v>
      </c>
      <c r="I73" s="9">
        <v>1</v>
      </c>
      <c r="J73" s="8">
        <v>0</v>
      </c>
      <c r="K73" s="9">
        <v>1</v>
      </c>
    </row>
    <row r="74" spans="1:11" x14ac:dyDescent="0.2">
      <c r="A74" s="2" t="s">
        <v>9</v>
      </c>
      <c r="B74" s="4">
        <v>0</v>
      </c>
      <c r="C74" s="5">
        <v>1</v>
      </c>
      <c r="D74" s="10">
        <v>0</v>
      </c>
      <c r="E74" s="11">
        <v>1</v>
      </c>
      <c r="F74" s="10">
        <v>0</v>
      </c>
      <c r="G74" s="11">
        <v>1</v>
      </c>
      <c r="H74" s="10">
        <v>0</v>
      </c>
      <c r="I74" s="11">
        <v>1</v>
      </c>
      <c r="J74" s="10">
        <v>0</v>
      </c>
      <c r="K74" s="11">
        <v>1</v>
      </c>
    </row>
    <row r="75" spans="1:11" x14ac:dyDescent="0.2">
      <c r="A75" s="3" t="s">
        <v>10</v>
      </c>
      <c r="B75" s="6">
        <v>0</v>
      </c>
      <c r="C75" s="7">
        <v>0</v>
      </c>
      <c r="D75" s="8">
        <v>0</v>
      </c>
      <c r="E75" s="9">
        <v>1</v>
      </c>
      <c r="F75" s="8">
        <v>0</v>
      </c>
      <c r="G75" s="9">
        <v>0</v>
      </c>
      <c r="H75" s="8">
        <v>0</v>
      </c>
      <c r="I75" s="9">
        <v>1</v>
      </c>
      <c r="J75" s="8">
        <v>0</v>
      </c>
      <c r="K75" s="9">
        <v>1</v>
      </c>
    </row>
    <row r="76" spans="1:11" x14ac:dyDescent="0.2">
      <c r="A76" s="2" t="s">
        <v>11</v>
      </c>
      <c r="B76" s="4">
        <v>0</v>
      </c>
      <c r="C76" s="5">
        <v>0</v>
      </c>
      <c r="D76" s="10">
        <v>0</v>
      </c>
      <c r="E76" s="11">
        <v>0</v>
      </c>
      <c r="F76" s="10">
        <v>0</v>
      </c>
      <c r="G76" s="11">
        <v>0</v>
      </c>
      <c r="H76" s="10">
        <v>0</v>
      </c>
      <c r="I76" s="11">
        <v>0</v>
      </c>
      <c r="J76" s="10">
        <v>0</v>
      </c>
      <c r="K76" s="11">
        <v>0</v>
      </c>
    </row>
    <row r="77" spans="1:11" x14ac:dyDescent="0.2">
      <c r="A77" s="2" t="s">
        <v>15</v>
      </c>
      <c r="B77" s="4">
        <v>0</v>
      </c>
      <c r="C77" s="5">
        <v>0</v>
      </c>
      <c r="D77" s="10">
        <v>0</v>
      </c>
      <c r="E77" s="11">
        <v>0</v>
      </c>
      <c r="F77" s="10">
        <v>0</v>
      </c>
      <c r="G77" s="11">
        <v>0</v>
      </c>
      <c r="H77" s="10">
        <v>0</v>
      </c>
      <c r="I77" s="11">
        <v>0</v>
      </c>
      <c r="J77" s="10">
        <v>0</v>
      </c>
      <c r="K77" s="11">
        <v>0</v>
      </c>
    </row>
    <row r="78" spans="1:11" x14ac:dyDescent="0.2">
      <c r="A78" s="3" t="s">
        <v>18</v>
      </c>
      <c r="B78" s="6">
        <v>0</v>
      </c>
      <c r="C78" s="7">
        <v>0</v>
      </c>
      <c r="D78" s="8">
        <v>0</v>
      </c>
      <c r="E78" s="9">
        <v>0</v>
      </c>
      <c r="F78" s="8">
        <v>0</v>
      </c>
      <c r="G78" s="9">
        <v>0</v>
      </c>
      <c r="H78" s="8">
        <v>0</v>
      </c>
      <c r="I78" s="9">
        <v>0</v>
      </c>
      <c r="J78" s="8">
        <v>0</v>
      </c>
      <c r="K78" s="9">
        <v>0</v>
      </c>
    </row>
    <row r="79" spans="1:11" x14ac:dyDescent="0.2">
      <c r="A79" s="3" t="s">
        <v>22</v>
      </c>
      <c r="B79" s="6">
        <v>0</v>
      </c>
      <c r="C79" s="7">
        <v>0</v>
      </c>
      <c r="D79" s="8">
        <v>0</v>
      </c>
      <c r="E79" s="9">
        <v>0</v>
      </c>
      <c r="F79" s="8">
        <v>0</v>
      </c>
      <c r="G79" s="9">
        <v>0</v>
      </c>
      <c r="H79" s="8">
        <v>0</v>
      </c>
      <c r="I79" s="9">
        <v>0</v>
      </c>
      <c r="J79" s="8">
        <v>0</v>
      </c>
      <c r="K79" s="9">
        <v>0</v>
      </c>
    </row>
    <row r="80" spans="1:11" x14ac:dyDescent="0.2">
      <c r="A80" s="3" t="s">
        <v>26</v>
      </c>
      <c r="B80" s="6">
        <v>0</v>
      </c>
      <c r="C80" s="7">
        <v>0</v>
      </c>
      <c r="D80" s="8">
        <v>0</v>
      </c>
      <c r="E80" s="9">
        <v>0</v>
      </c>
      <c r="F80" s="8">
        <v>0</v>
      </c>
      <c r="G80" s="9">
        <v>0</v>
      </c>
      <c r="H80" s="8">
        <v>0</v>
      </c>
      <c r="I80" s="9">
        <v>0</v>
      </c>
      <c r="J80" s="8">
        <v>0</v>
      </c>
      <c r="K80" s="9">
        <v>0</v>
      </c>
    </row>
    <row r="81" spans="1:11" x14ac:dyDescent="0.2">
      <c r="A81" s="2" t="s">
        <v>27</v>
      </c>
      <c r="B81" s="4">
        <v>0</v>
      </c>
      <c r="C81" s="5">
        <v>0</v>
      </c>
      <c r="D81" s="10">
        <v>0</v>
      </c>
      <c r="E81" s="11">
        <v>0</v>
      </c>
      <c r="F81" s="10">
        <v>0</v>
      </c>
      <c r="G81" s="11">
        <v>0</v>
      </c>
      <c r="H81" s="10">
        <v>0</v>
      </c>
      <c r="I81" s="11">
        <v>0</v>
      </c>
      <c r="J81" s="10">
        <v>0</v>
      </c>
      <c r="K81" s="11">
        <v>0</v>
      </c>
    </row>
    <row r="82" spans="1:11" x14ac:dyDescent="0.2">
      <c r="A82" s="2" t="s">
        <v>29</v>
      </c>
      <c r="B82" s="4">
        <v>0</v>
      </c>
      <c r="C82" s="5">
        <v>0</v>
      </c>
      <c r="D82" s="10">
        <v>0</v>
      </c>
      <c r="E82" s="11">
        <v>0</v>
      </c>
      <c r="F82" s="10">
        <v>0</v>
      </c>
      <c r="G82" s="11">
        <v>0</v>
      </c>
      <c r="H82" s="10">
        <v>0</v>
      </c>
      <c r="I82" s="11">
        <v>0</v>
      </c>
      <c r="J82" s="10">
        <v>0</v>
      </c>
      <c r="K82" s="11">
        <v>0</v>
      </c>
    </row>
    <row r="83" spans="1:11" x14ac:dyDescent="0.2">
      <c r="A83" s="3" t="s">
        <v>34</v>
      </c>
      <c r="B83" s="6">
        <v>0</v>
      </c>
      <c r="C83" s="7">
        <v>0</v>
      </c>
      <c r="D83" s="8">
        <v>0</v>
      </c>
      <c r="E83" s="9">
        <v>0</v>
      </c>
      <c r="F83" s="8">
        <v>0</v>
      </c>
      <c r="G83" s="9">
        <v>0</v>
      </c>
      <c r="H83" s="8">
        <v>0</v>
      </c>
      <c r="I83" s="9">
        <v>0</v>
      </c>
      <c r="J83" s="8">
        <v>0</v>
      </c>
      <c r="K83" s="9">
        <v>0</v>
      </c>
    </row>
    <row r="84" spans="1:11" x14ac:dyDescent="0.2">
      <c r="A84" s="2" t="s">
        <v>35</v>
      </c>
      <c r="B84" s="4">
        <v>0</v>
      </c>
      <c r="C84" s="5">
        <v>1</v>
      </c>
      <c r="D84" s="10">
        <v>0</v>
      </c>
      <c r="E84" s="11">
        <v>1</v>
      </c>
      <c r="F84" s="10">
        <v>0</v>
      </c>
      <c r="G84" s="11">
        <v>1</v>
      </c>
      <c r="H84" s="10">
        <v>0</v>
      </c>
      <c r="I84" s="11">
        <v>1</v>
      </c>
      <c r="J84" s="10">
        <v>0</v>
      </c>
      <c r="K84" s="11">
        <v>1</v>
      </c>
    </row>
    <row r="85" spans="1:11" x14ac:dyDescent="0.2">
      <c r="A85" s="3" t="s">
        <v>36</v>
      </c>
      <c r="B85" s="6">
        <v>0</v>
      </c>
      <c r="C85" s="7">
        <v>0</v>
      </c>
      <c r="D85" s="8">
        <v>0</v>
      </c>
      <c r="E85" s="9">
        <v>0</v>
      </c>
      <c r="F85" s="8">
        <v>0</v>
      </c>
      <c r="G85" s="9">
        <v>0</v>
      </c>
      <c r="H85" s="8">
        <v>0</v>
      </c>
      <c r="I85" s="9">
        <v>0</v>
      </c>
      <c r="J85" s="8">
        <v>0</v>
      </c>
      <c r="K85" s="9">
        <v>0</v>
      </c>
    </row>
    <row r="86" spans="1:11" x14ac:dyDescent="0.2">
      <c r="A86" s="3" t="s">
        <v>42</v>
      </c>
      <c r="B86" s="6">
        <v>0</v>
      </c>
      <c r="C86" s="7">
        <v>0</v>
      </c>
      <c r="D86" s="8">
        <v>0</v>
      </c>
      <c r="E86" s="9">
        <v>0</v>
      </c>
      <c r="F86" s="8">
        <v>0</v>
      </c>
      <c r="G86" s="9">
        <v>0</v>
      </c>
      <c r="H86" s="8">
        <v>0</v>
      </c>
      <c r="I86" s="9">
        <v>0</v>
      </c>
      <c r="J86" s="8">
        <v>0</v>
      </c>
      <c r="K86" s="9">
        <v>0</v>
      </c>
    </row>
    <row r="87" spans="1:11" x14ac:dyDescent="0.2">
      <c r="A87" s="3" t="s">
        <v>46</v>
      </c>
      <c r="B87" s="6">
        <v>0</v>
      </c>
      <c r="C87" s="7">
        <v>0</v>
      </c>
      <c r="D87" s="8">
        <v>0</v>
      </c>
      <c r="E87" s="9">
        <v>0</v>
      </c>
      <c r="F87" s="8">
        <v>0</v>
      </c>
      <c r="G87" s="9">
        <v>0</v>
      </c>
      <c r="H87" s="8">
        <v>0</v>
      </c>
      <c r="I87" s="9">
        <v>0</v>
      </c>
      <c r="J87" s="8">
        <v>0</v>
      </c>
      <c r="K87" s="9">
        <v>0</v>
      </c>
    </row>
    <row r="88" spans="1:11" x14ac:dyDescent="0.2">
      <c r="A88" s="2" t="s">
        <v>47</v>
      </c>
      <c r="B88" s="4">
        <v>0</v>
      </c>
      <c r="C88" s="5">
        <v>0</v>
      </c>
      <c r="D88" s="10">
        <v>0</v>
      </c>
      <c r="E88" s="11">
        <v>0</v>
      </c>
      <c r="F88" s="10">
        <v>0</v>
      </c>
      <c r="G88" s="11">
        <v>0</v>
      </c>
      <c r="H88" s="10">
        <v>0</v>
      </c>
      <c r="I88" s="11">
        <v>0</v>
      </c>
      <c r="J88" s="10">
        <v>0</v>
      </c>
      <c r="K88" s="11">
        <v>0</v>
      </c>
    </row>
    <row r="89" spans="1:11" x14ac:dyDescent="0.2">
      <c r="A89" s="3" t="s">
        <v>48</v>
      </c>
      <c r="B89" s="6">
        <v>0</v>
      </c>
      <c r="C89" s="7">
        <v>0</v>
      </c>
      <c r="D89" s="8">
        <v>0</v>
      </c>
      <c r="E89" s="9">
        <v>0</v>
      </c>
      <c r="F89" s="8">
        <v>0</v>
      </c>
      <c r="G89" s="9">
        <v>0</v>
      </c>
      <c r="H89" s="8">
        <v>0</v>
      </c>
      <c r="I89" s="9">
        <v>0</v>
      </c>
      <c r="J89" s="8">
        <v>0</v>
      </c>
      <c r="K89" s="9">
        <v>0</v>
      </c>
    </row>
    <row r="90" spans="1:11" x14ac:dyDescent="0.2">
      <c r="A90" s="2" t="s">
        <v>51</v>
      </c>
      <c r="B90" s="4">
        <v>0</v>
      </c>
      <c r="C90" s="5">
        <v>0</v>
      </c>
      <c r="D90" s="10">
        <v>0</v>
      </c>
      <c r="E90" s="11">
        <v>0</v>
      </c>
      <c r="F90" s="10">
        <v>0</v>
      </c>
      <c r="G90" s="11">
        <v>0</v>
      </c>
      <c r="H90" s="10">
        <v>0</v>
      </c>
      <c r="I90" s="11">
        <v>0</v>
      </c>
      <c r="J90" s="10">
        <v>0</v>
      </c>
      <c r="K90" s="11">
        <v>0</v>
      </c>
    </row>
    <row r="91" spans="1:11" x14ac:dyDescent="0.2">
      <c r="A91" s="2" t="s">
        <v>53</v>
      </c>
      <c r="B91" s="4">
        <v>0</v>
      </c>
      <c r="C91" s="5">
        <v>0</v>
      </c>
      <c r="D91" s="10">
        <v>0</v>
      </c>
      <c r="E91" s="11">
        <v>0</v>
      </c>
      <c r="F91" s="10">
        <v>0</v>
      </c>
      <c r="G91" s="11">
        <v>0</v>
      </c>
      <c r="H91" s="10">
        <v>0</v>
      </c>
      <c r="I91" s="11">
        <v>0</v>
      </c>
      <c r="J91" s="10">
        <v>0</v>
      </c>
      <c r="K91" s="11">
        <v>0</v>
      </c>
    </row>
    <row r="92" spans="1:11" x14ac:dyDescent="0.2">
      <c r="A92" s="2" t="s">
        <v>59</v>
      </c>
      <c r="B92" s="4">
        <v>0</v>
      </c>
      <c r="C92" s="5">
        <v>0</v>
      </c>
      <c r="D92" s="10">
        <v>0</v>
      </c>
      <c r="E92" s="11">
        <v>0</v>
      </c>
      <c r="F92" s="10">
        <v>0</v>
      </c>
      <c r="G92" s="11">
        <v>0</v>
      </c>
      <c r="H92" s="10">
        <v>0</v>
      </c>
      <c r="I92" s="11">
        <v>0</v>
      </c>
      <c r="J92" s="10">
        <v>0</v>
      </c>
      <c r="K92" s="11">
        <v>0</v>
      </c>
    </row>
    <row r="93" spans="1:11" x14ac:dyDescent="0.2">
      <c r="A93" s="3" t="s">
        <v>60</v>
      </c>
      <c r="B93" s="8">
        <v>0</v>
      </c>
      <c r="C93" s="9">
        <v>0</v>
      </c>
      <c r="D93" s="8">
        <v>0</v>
      </c>
      <c r="E93" s="9">
        <v>0</v>
      </c>
      <c r="F93" s="8">
        <v>0</v>
      </c>
      <c r="G93" s="9">
        <v>0</v>
      </c>
      <c r="H93" s="8">
        <v>0</v>
      </c>
      <c r="I93" s="9">
        <v>0</v>
      </c>
      <c r="J93" s="8">
        <v>0</v>
      </c>
      <c r="K93" s="9">
        <v>0</v>
      </c>
    </row>
    <row r="94" spans="1:11" x14ac:dyDescent="0.2">
      <c r="A94" s="3" t="s">
        <v>62</v>
      </c>
      <c r="B94" s="6">
        <v>0</v>
      </c>
      <c r="C94" s="7">
        <v>0</v>
      </c>
      <c r="D94" s="8">
        <v>0</v>
      </c>
      <c r="E94" s="9">
        <v>0</v>
      </c>
      <c r="F94" s="8">
        <v>0</v>
      </c>
      <c r="G94" s="9">
        <v>0</v>
      </c>
      <c r="H94" s="8">
        <v>0</v>
      </c>
      <c r="I94" s="9">
        <v>0</v>
      </c>
      <c r="J94" s="8">
        <v>0</v>
      </c>
      <c r="K94" s="9">
        <v>0</v>
      </c>
    </row>
    <row r="95" spans="1:11" x14ac:dyDescent="0.2">
      <c r="A95" s="3" t="s">
        <v>64</v>
      </c>
      <c r="B95" s="6">
        <v>0</v>
      </c>
      <c r="C95" s="7">
        <v>0</v>
      </c>
      <c r="D95" s="8">
        <v>0</v>
      </c>
      <c r="E95" s="9">
        <v>0</v>
      </c>
      <c r="F95" s="8">
        <v>0</v>
      </c>
      <c r="G95" s="9">
        <v>0</v>
      </c>
      <c r="H95" s="8">
        <v>0</v>
      </c>
      <c r="I95" s="9">
        <v>0</v>
      </c>
      <c r="J95" s="8">
        <v>0</v>
      </c>
      <c r="K95" s="9">
        <v>0</v>
      </c>
    </row>
    <row r="96" spans="1:11" x14ac:dyDescent="0.2">
      <c r="A96" s="2" t="s">
        <v>69</v>
      </c>
      <c r="B96" s="4">
        <v>0</v>
      </c>
      <c r="C96" s="5">
        <v>0</v>
      </c>
      <c r="D96" s="10">
        <v>0</v>
      </c>
      <c r="E96" s="11">
        <v>0</v>
      </c>
      <c r="F96" s="10">
        <v>0</v>
      </c>
      <c r="G96" s="11">
        <v>0</v>
      </c>
      <c r="H96" s="10">
        <v>0</v>
      </c>
      <c r="I96" s="11">
        <v>0</v>
      </c>
      <c r="J96" s="10">
        <v>0</v>
      </c>
      <c r="K96" s="11">
        <v>0</v>
      </c>
    </row>
    <row r="97" spans="1:11" x14ac:dyDescent="0.2">
      <c r="A97" s="2" t="s">
        <v>77</v>
      </c>
      <c r="B97" s="4">
        <v>0</v>
      </c>
      <c r="C97" s="5">
        <v>0</v>
      </c>
      <c r="D97" s="10">
        <v>0</v>
      </c>
      <c r="E97" s="11">
        <v>0</v>
      </c>
      <c r="F97" s="10">
        <v>0</v>
      </c>
      <c r="G97" s="11">
        <v>0</v>
      </c>
      <c r="H97" s="10">
        <v>0</v>
      </c>
      <c r="I97" s="11">
        <v>0</v>
      </c>
      <c r="J97" s="10">
        <v>0</v>
      </c>
      <c r="K97" s="11">
        <v>0</v>
      </c>
    </row>
    <row r="98" spans="1:11" x14ac:dyDescent="0.2">
      <c r="A98" s="3" t="s">
        <v>78</v>
      </c>
      <c r="B98" s="6">
        <v>0</v>
      </c>
      <c r="C98" s="7">
        <v>0</v>
      </c>
      <c r="D98" s="8">
        <v>0</v>
      </c>
      <c r="E98" s="9">
        <v>0</v>
      </c>
      <c r="F98" s="8">
        <v>0</v>
      </c>
      <c r="G98" s="9">
        <v>0</v>
      </c>
      <c r="H98" s="8">
        <v>0</v>
      </c>
      <c r="I98" s="9">
        <v>0</v>
      </c>
      <c r="J98" s="8">
        <v>0</v>
      </c>
      <c r="K98" s="9">
        <v>0</v>
      </c>
    </row>
    <row r="99" spans="1:11" x14ac:dyDescent="0.2">
      <c r="A99" s="2" t="s">
        <v>79</v>
      </c>
      <c r="B99" s="4">
        <v>0</v>
      </c>
      <c r="C99" s="5">
        <v>0</v>
      </c>
      <c r="D99" s="10">
        <v>0</v>
      </c>
      <c r="E99" s="11">
        <v>0</v>
      </c>
      <c r="F99" s="10">
        <v>0</v>
      </c>
      <c r="G99" s="11">
        <v>0</v>
      </c>
      <c r="H99" s="10">
        <v>0</v>
      </c>
      <c r="I99" s="11">
        <v>0</v>
      </c>
      <c r="J99" s="10">
        <v>0</v>
      </c>
      <c r="K99" s="11">
        <v>0</v>
      </c>
    </row>
    <row r="100" spans="1:11" x14ac:dyDescent="0.2">
      <c r="A100" s="3" t="s">
        <v>80</v>
      </c>
      <c r="B100" s="6">
        <v>0</v>
      </c>
      <c r="C100" s="7">
        <v>1</v>
      </c>
      <c r="D100" s="8">
        <v>0</v>
      </c>
      <c r="E100" s="9">
        <v>1</v>
      </c>
      <c r="F100" s="8">
        <v>0</v>
      </c>
      <c r="G100" s="9">
        <v>1</v>
      </c>
      <c r="H100" s="8">
        <v>0</v>
      </c>
      <c r="I100" s="9">
        <v>0</v>
      </c>
      <c r="J100" s="8">
        <v>0</v>
      </c>
      <c r="K100" s="9">
        <v>1</v>
      </c>
    </row>
    <row r="101" spans="1:11" x14ac:dyDescent="0.2">
      <c r="A101" s="3" t="s">
        <v>82</v>
      </c>
      <c r="B101" s="6">
        <v>0</v>
      </c>
      <c r="C101" s="7">
        <v>0</v>
      </c>
      <c r="D101" s="8">
        <v>0</v>
      </c>
      <c r="E101" s="9">
        <v>0</v>
      </c>
      <c r="F101" s="8">
        <v>0</v>
      </c>
      <c r="G101" s="9">
        <v>0</v>
      </c>
      <c r="H101" s="8">
        <v>0</v>
      </c>
      <c r="I101" s="9">
        <v>0</v>
      </c>
      <c r="J101" s="8">
        <v>0</v>
      </c>
      <c r="K101" s="9">
        <v>0</v>
      </c>
    </row>
    <row r="102" spans="1:11" x14ac:dyDescent="0.2">
      <c r="A102" s="2" t="s">
        <v>83</v>
      </c>
      <c r="B102" s="4">
        <v>0</v>
      </c>
      <c r="C102" s="5">
        <v>1</v>
      </c>
      <c r="D102" s="10">
        <v>0</v>
      </c>
      <c r="E102" s="11">
        <v>1</v>
      </c>
      <c r="F102" s="10">
        <v>0</v>
      </c>
      <c r="G102" s="11">
        <v>1</v>
      </c>
      <c r="H102" s="10">
        <v>0</v>
      </c>
      <c r="I102" s="11">
        <v>1</v>
      </c>
      <c r="J102" s="10">
        <v>0</v>
      </c>
      <c r="K102" s="11">
        <v>1</v>
      </c>
    </row>
    <row r="103" spans="1:11" x14ac:dyDescent="0.2">
      <c r="A103" s="3" t="s">
        <v>84</v>
      </c>
      <c r="B103" s="6">
        <v>0</v>
      </c>
      <c r="C103" s="7">
        <v>0</v>
      </c>
      <c r="D103" s="8">
        <v>0</v>
      </c>
      <c r="E103" s="9">
        <v>0</v>
      </c>
      <c r="F103" s="8">
        <v>0</v>
      </c>
      <c r="G103" s="9">
        <v>0</v>
      </c>
      <c r="H103" s="8">
        <v>0</v>
      </c>
      <c r="I103" s="9">
        <v>0</v>
      </c>
      <c r="J103" s="8">
        <v>0</v>
      </c>
      <c r="K103" s="9">
        <v>0</v>
      </c>
    </row>
    <row r="104" spans="1:11" x14ac:dyDescent="0.2">
      <c r="A104" s="3" t="s">
        <v>90</v>
      </c>
      <c r="B104" s="6">
        <v>0</v>
      </c>
      <c r="C104" s="7">
        <v>0</v>
      </c>
      <c r="D104" s="8">
        <v>0</v>
      </c>
      <c r="E104" s="9">
        <v>0</v>
      </c>
      <c r="F104" s="8">
        <v>0</v>
      </c>
      <c r="G104" s="9">
        <v>0</v>
      </c>
      <c r="H104" s="8">
        <v>0</v>
      </c>
      <c r="I104" s="9">
        <v>0</v>
      </c>
      <c r="J104" s="8">
        <v>0</v>
      </c>
      <c r="K104" s="9">
        <v>0</v>
      </c>
    </row>
    <row r="105" spans="1:11" x14ac:dyDescent="0.2">
      <c r="A105" s="2" t="s">
        <v>91</v>
      </c>
      <c r="B105" s="4">
        <v>0</v>
      </c>
      <c r="C105" s="5">
        <v>0</v>
      </c>
      <c r="D105" s="10">
        <v>0</v>
      </c>
      <c r="E105" s="11">
        <v>1</v>
      </c>
      <c r="F105" s="10">
        <v>0</v>
      </c>
      <c r="G105" s="11">
        <v>1</v>
      </c>
      <c r="H105" s="10">
        <v>0</v>
      </c>
      <c r="I105" s="11">
        <v>0</v>
      </c>
      <c r="J105" s="10">
        <v>0</v>
      </c>
      <c r="K105" s="11">
        <v>1</v>
      </c>
    </row>
    <row r="106" spans="1:11" x14ac:dyDescent="0.2">
      <c r="A106" s="2" t="s">
        <v>95</v>
      </c>
      <c r="B106" s="4">
        <v>0</v>
      </c>
      <c r="C106" s="5">
        <v>1</v>
      </c>
      <c r="D106" s="10">
        <v>0</v>
      </c>
      <c r="E106" s="11">
        <v>1</v>
      </c>
      <c r="F106" s="10">
        <v>0</v>
      </c>
      <c r="G106" s="11">
        <v>1</v>
      </c>
      <c r="H106" s="10">
        <v>0</v>
      </c>
      <c r="I106" s="11">
        <v>1</v>
      </c>
      <c r="J106" s="10">
        <v>0</v>
      </c>
      <c r="K106" s="11">
        <v>1</v>
      </c>
    </row>
    <row r="107" spans="1:11" x14ac:dyDescent="0.2">
      <c r="A107" s="2" t="s">
        <v>97</v>
      </c>
      <c r="B107" s="4">
        <v>0</v>
      </c>
      <c r="C107" s="5">
        <v>0</v>
      </c>
      <c r="D107" s="10">
        <v>0</v>
      </c>
      <c r="E107" s="11">
        <v>0</v>
      </c>
      <c r="F107" s="10">
        <v>0</v>
      </c>
      <c r="G107" s="11">
        <v>0</v>
      </c>
      <c r="H107" s="10">
        <v>0</v>
      </c>
      <c r="I107" s="11">
        <v>0</v>
      </c>
      <c r="J107" s="10">
        <v>0</v>
      </c>
      <c r="K107" s="11">
        <v>0</v>
      </c>
    </row>
    <row r="108" spans="1:11" x14ac:dyDescent="0.2">
      <c r="A108" s="2" t="s">
        <v>99</v>
      </c>
      <c r="B108" s="4">
        <v>0</v>
      </c>
      <c r="C108" s="5">
        <v>0</v>
      </c>
      <c r="D108" s="10">
        <v>0</v>
      </c>
      <c r="E108" s="11">
        <v>1</v>
      </c>
      <c r="F108" s="10">
        <v>0</v>
      </c>
      <c r="G108" s="11">
        <v>1</v>
      </c>
      <c r="H108" s="10">
        <v>0</v>
      </c>
      <c r="I108" s="11">
        <v>0</v>
      </c>
      <c r="J108" s="10">
        <v>0</v>
      </c>
      <c r="K108" s="11">
        <v>0</v>
      </c>
    </row>
    <row r="109" spans="1:11" x14ac:dyDescent="0.2">
      <c r="A109" s="3" t="s">
        <v>100</v>
      </c>
      <c r="B109" s="6">
        <v>0</v>
      </c>
      <c r="C109" s="7">
        <v>0</v>
      </c>
      <c r="D109" s="8">
        <v>0</v>
      </c>
      <c r="E109" s="9">
        <v>0</v>
      </c>
      <c r="F109" s="8">
        <v>0</v>
      </c>
      <c r="G109" s="9">
        <v>0</v>
      </c>
      <c r="H109" s="8">
        <v>0</v>
      </c>
      <c r="I109" s="9">
        <v>0</v>
      </c>
      <c r="J109" s="8">
        <v>0</v>
      </c>
      <c r="K109" s="9">
        <v>0</v>
      </c>
    </row>
    <row r="110" spans="1:11" x14ac:dyDescent="0.2">
      <c r="A110" s="3" t="s">
        <v>102</v>
      </c>
      <c r="B110" s="6">
        <v>0</v>
      </c>
      <c r="C110" s="7">
        <v>0</v>
      </c>
      <c r="D110" s="8">
        <v>0</v>
      </c>
      <c r="E110" s="9">
        <v>0</v>
      </c>
      <c r="F110" s="8">
        <v>0</v>
      </c>
      <c r="G110" s="9">
        <v>0</v>
      </c>
      <c r="H110" s="8">
        <v>0</v>
      </c>
      <c r="I110" s="9">
        <v>0</v>
      </c>
      <c r="J110" s="8">
        <v>0</v>
      </c>
      <c r="K110" s="9">
        <v>0</v>
      </c>
    </row>
    <row r="111" spans="1:11" x14ac:dyDescent="0.2">
      <c r="A111" s="2" t="s">
        <v>103</v>
      </c>
      <c r="B111" s="4">
        <v>0</v>
      </c>
      <c r="C111" s="5">
        <v>0</v>
      </c>
      <c r="D111" s="10">
        <v>0</v>
      </c>
      <c r="E111" s="11">
        <v>0</v>
      </c>
      <c r="F111" s="10">
        <v>0</v>
      </c>
      <c r="G111" s="11">
        <v>0</v>
      </c>
      <c r="H111" s="10">
        <v>0</v>
      </c>
      <c r="I111" s="11">
        <v>0</v>
      </c>
      <c r="J111" s="10">
        <v>0</v>
      </c>
      <c r="K111" s="11">
        <v>0</v>
      </c>
    </row>
    <row r="112" spans="1:11" x14ac:dyDescent="0.2">
      <c r="A112" s="3" t="s">
        <v>104</v>
      </c>
      <c r="B112" s="6">
        <v>0</v>
      </c>
      <c r="C112" s="7">
        <v>0</v>
      </c>
      <c r="D112" s="8">
        <v>0</v>
      </c>
      <c r="E112" s="9">
        <v>0</v>
      </c>
      <c r="F112" s="8">
        <v>0</v>
      </c>
      <c r="G112" s="9">
        <v>0</v>
      </c>
      <c r="H112" s="8">
        <v>0</v>
      </c>
      <c r="I112" s="9">
        <v>0</v>
      </c>
      <c r="J112" s="8">
        <v>0</v>
      </c>
      <c r="K112" s="9">
        <v>0</v>
      </c>
    </row>
    <row r="113" spans="1:11" x14ac:dyDescent="0.2">
      <c r="A113" s="2" t="s">
        <v>105</v>
      </c>
      <c r="B113" s="4">
        <v>0</v>
      </c>
      <c r="C113" s="5">
        <v>0</v>
      </c>
      <c r="D113" s="10">
        <v>0</v>
      </c>
      <c r="E113" s="11">
        <v>0</v>
      </c>
      <c r="F113" s="10">
        <v>0</v>
      </c>
      <c r="G113" s="11">
        <v>0</v>
      </c>
      <c r="H113" s="10">
        <v>0</v>
      </c>
      <c r="I113" s="11">
        <v>0</v>
      </c>
      <c r="J113" s="10">
        <v>0</v>
      </c>
      <c r="K113" s="11">
        <v>0</v>
      </c>
    </row>
    <row r="114" spans="1:11" x14ac:dyDescent="0.2">
      <c r="A114" s="3" t="s">
        <v>106</v>
      </c>
      <c r="B114" s="6">
        <v>0</v>
      </c>
      <c r="C114" s="7">
        <v>1</v>
      </c>
      <c r="D114" s="8">
        <v>0</v>
      </c>
      <c r="E114" s="9">
        <v>1</v>
      </c>
      <c r="F114" s="8">
        <v>0</v>
      </c>
      <c r="G114" s="9">
        <v>1</v>
      </c>
      <c r="H114" s="8">
        <v>0</v>
      </c>
      <c r="I114" s="9">
        <v>1</v>
      </c>
      <c r="J114" s="8">
        <v>0</v>
      </c>
      <c r="K114" s="9">
        <v>1</v>
      </c>
    </row>
    <row r="115" spans="1:11" x14ac:dyDescent="0.2">
      <c r="A115" s="3" t="s">
        <v>110</v>
      </c>
      <c r="B115" s="6">
        <v>0</v>
      </c>
      <c r="C115" s="7">
        <v>1</v>
      </c>
      <c r="D115" s="8">
        <v>0</v>
      </c>
      <c r="E115" s="9">
        <v>1</v>
      </c>
      <c r="F115" s="8">
        <v>0</v>
      </c>
      <c r="G115" s="9">
        <v>1</v>
      </c>
      <c r="H115" s="8">
        <v>0</v>
      </c>
      <c r="I115" s="9">
        <v>1</v>
      </c>
      <c r="J115" s="8">
        <v>0</v>
      </c>
      <c r="K115" s="9">
        <v>1</v>
      </c>
    </row>
    <row r="116" spans="1:11" x14ac:dyDescent="0.2">
      <c r="A116" s="3" t="s">
        <v>112</v>
      </c>
      <c r="B116" s="8">
        <v>0</v>
      </c>
      <c r="C116" s="9">
        <v>0</v>
      </c>
      <c r="D116" s="8">
        <v>0</v>
      </c>
      <c r="E116" s="9">
        <v>0</v>
      </c>
      <c r="F116" s="8">
        <v>0</v>
      </c>
      <c r="G116" s="9">
        <v>0</v>
      </c>
      <c r="H116" s="8">
        <v>0</v>
      </c>
      <c r="I116" s="9">
        <v>0</v>
      </c>
      <c r="J116" s="8">
        <v>0</v>
      </c>
      <c r="K116" s="9">
        <v>0</v>
      </c>
    </row>
    <row r="117" spans="1:11" x14ac:dyDescent="0.2">
      <c r="A117" s="2" t="s">
        <v>113</v>
      </c>
      <c r="B117" s="4">
        <v>0</v>
      </c>
      <c r="C117" s="5">
        <v>0</v>
      </c>
      <c r="D117" s="10">
        <v>0</v>
      </c>
      <c r="E117" s="11">
        <v>0</v>
      </c>
      <c r="F117" s="10">
        <v>0</v>
      </c>
      <c r="G117" s="11">
        <v>0</v>
      </c>
      <c r="H117" s="10">
        <v>0</v>
      </c>
      <c r="I117" s="11">
        <v>0</v>
      </c>
      <c r="J117" s="10">
        <v>0</v>
      </c>
      <c r="K117" s="11">
        <v>0</v>
      </c>
    </row>
    <row r="118" spans="1:11" x14ac:dyDescent="0.2">
      <c r="A118" s="12" t="s">
        <v>114</v>
      </c>
      <c r="B118" s="13">
        <v>0</v>
      </c>
      <c r="C118" s="14">
        <v>0</v>
      </c>
      <c r="D118" s="15">
        <v>0</v>
      </c>
      <c r="E118" s="16">
        <v>0</v>
      </c>
      <c r="F118" s="15">
        <v>0</v>
      </c>
      <c r="G118" s="16">
        <v>0</v>
      </c>
      <c r="H118" s="15">
        <v>0</v>
      </c>
      <c r="I118" s="16">
        <v>0</v>
      </c>
      <c r="J118" s="15">
        <v>0</v>
      </c>
      <c r="K118" s="16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James L'Huillier-Pedersen</dc:creator>
  <cp:lastModifiedBy>Oscar James L'Huillier-Pedersen</cp:lastModifiedBy>
  <dcterms:created xsi:type="dcterms:W3CDTF">2026-02-09T10:08:34Z</dcterms:created>
  <dcterms:modified xsi:type="dcterms:W3CDTF">2026-02-18T10:54:12Z</dcterms:modified>
</cp:coreProperties>
</file>